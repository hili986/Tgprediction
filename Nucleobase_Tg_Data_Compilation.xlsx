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71ca378af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46fe7ecbcb04386"/>
    <x:sheet xmlns:r="http://schemas.openxmlformats.org/officeDocument/2006/relationships" name="Comparison_Snapshot" sheetId="2" r:id="Radea16c97e2a4cf0"/>
    <x:sheet xmlns:r="http://schemas.openxmlformats.org/officeDocument/2006/relationships" name="Quantitative_Tg_Data" sheetId="3" r:id="R85e5b2217adc4a73"/>
    <x:sheet xmlns:r="http://schemas.openxmlformats.org/officeDocument/2006/relationships" name="Qualitative_Findings" sheetId="4" r:id="R08f1b37c98f9495a"/>
    <x:sheet xmlns:r="http://schemas.openxmlformats.org/officeDocument/2006/relationships" name="Interaction_Notes" sheetId="5" r:id="R7236d54a81db46e8"/>
    <x:sheet xmlns:r="http://schemas.openxmlformats.org/officeDocument/2006/relationships" name="References" sheetId="6" r:id="R06131b13b67d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2">
    <x:font>
      <x:sz val="11"/>
      <x:name val="Carlito"/>
    </x:font>
    <x:font>
      <x:b/>
      <x:sz val="16"/>
      <x:color rgb="1F4E79"/>
      <x:name val="Carlito"/>
    </x:font>
    <x:font>
      <x:b/>
      <x:sz val="11"/>
      <x:name val="Carlito"/>
    </x:font>
    <x:font>
      <x:b/>
      <x:sz val="11"/>
      <x:color rgb="1F1F1F"/>
      <x:name val="Carlito"/>
    </x:font>
    <x:font>
      <x:b/>
      <x:sz val="16"/>
      <x:color rgb="1F4E79"/>
      <x:name val="Calibri"/>
    </x:font>
    <x:font>
      <x:sz val="11"/>
      <x:name val="Calibri"/>
    </x:font>
    <x:font>
      <x:b/>
      <x:sz val="11"/>
      <x:name val="Calibri"/>
    </x:font>
    <x:font>
      <x:b/>
      <x:sz val="10"/>
      <x:color rgb="1F4E79"/>
      <x:name val="Calibri"/>
    </x:font>
    <x:font>
      <x:sz val="10"/>
      <x:name val="Calibri"/>
    </x:font>
    <x:font>
      <x:b/>
      <x:sz val="10"/>
      <x:name val="Calibri"/>
    </x:font>
    <x:font>
      <x:b/>
      <x:sz val="11"/>
      <x:color rgb="1F1F1F"/>
      <x:name val="Calibri"/>
    </x:font>
    <x:font>
      <x:b/>
      <x:sz val="10"/>
      <x:color rgb="1F1F1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7FBFD"/>
      </x:patternFill>
    </x:fill>
    <x:fill>
      <x:patternFill patternType="solid">
        <x:fgColor rgb="E2F0D9"/>
      </x:patternFill>
    </x:fill>
    <x:fill>
      <x:patternFill patternType="solid">
        <x:fgColor rgb="DDEBF7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200" fontId="10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200" fontId="10" fillId="3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200" fontId="11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wrapText="1"/>
    </x:xf>
    <x:xf numFmtId="200" fontId="11" fillId="3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200" fontId="10" fillId="4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200" fontId="10" fillId="4" borderId="1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wrapText="1"/>
    </x:xf>
    <x:xf numFmtId="200" fontId="11" fillId="4" borderId="0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wrapText="1"/>
    </x:xf>
    <x:xf numFmtId="200" fontId="1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da37456494387" /><Relationship Type="http://schemas.openxmlformats.org/officeDocument/2006/relationships/theme" Target="/xl/theme/theme1.xml" Id="R715d58ca6c284ca3" /><Relationship Type="http://schemas.openxmlformats.org/officeDocument/2006/relationships/sharedStrings" Target="/xl/sharedStrings.xml" Id="R1644294c277f4ac6" /><Relationship Type="http://schemas.openxmlformats.org/officeDocument/2006/relationships/worksheet" Target="/xl/worksheets/sheet1.xml" Id="Ra46fe7ecbcb04386" /><Relationship Type="http://schemas.openxmlformats.org/officeDocument/2006/relationships/worksheet" Target="/xl/worksheets/sheet2.xml" Id="Radea16c97e2a4cf0" /><Relationship Type="http://schemas.openxmlformats.org/officeDocument/2006/relationships/worksheet" Target="/xl/worksheets/sheet3.xml" Id="R85e5b2217adc4a73" /><Relationship Type="http://schemas.openxmlformats.org/officeDocument/2006/relationships/worksheet" Target="/xl/worksheets/sheet4.xml" Id="R08f1b37c98f9495a" /><Relationship Type="http://schemas.openxmlformats.org/officeDocument/2006/relationships/worksheet" Target="/xl/worksheets/sheet5.xml" Id="R7236d54a81db46e8" /><Relationship Type="http://schemas.openxmlformats.org/officeDocument/2006/relationships/worksheet" Target="/xl/worksheets/sheet6.xml" Id="R06131b13b67d4c8a" /></Relationships>
</file>

<file path=xl/tables/table1.xml><?xml version="1.0" encoding="utf-8"?>
<x:table xmlns:x="http://schemas.openxmlformats.org/spreadsheetml/2006/main" id="1" name="ComparisonSnapshot" displayName="ComparisonSnapshot" ref="A1:K13" headerRowCount="1">
  <x:tableColumns count="11">
    <x:tableColumn id="1" name="Comparison_ID"/>
    <x:tableColumn id="2" name="Basis"/>
    <x:tableColumn id="3" name="Nucleobase"/>
    <x:tableColumn id="4" name="Sample"/>
    <x:tableColumn id="5" name="Architecture"/>
    <x:tableColumn id="6" name="Polymer_mol_pct"/>
    <x:tableColumn id="7" name="Tg_C"/>
    <x:tableColumn id="8" name="Baseline_Tg_C"/>
    <x:tableColumn id="9" name="Delta_Tg_vs_PnBA_C"/>
    <x:tableColumn id="10" name="Source_ID"/>
    <x:tableColumn id="11" name="Caveat"/>
  </x:tableColumns>
  <x:tableStyleInfo name="TableStyleMedium2" showRowStripes="1"/>
</x:table>
</file>

<file path=xl/tables/table2.xml><?xml version="1.0" encoding="utf-8"?>
<x:table xmlns:x="http://schemas.openxmlformats.org/spreadsheetml/2006/main" id="2" name="QuantitativeTgData" displayName="QuantitativeTgData" ref="A1:AB50" headerRowCount="1">
  <x:tableColumns count="28">
    <x:tableColumn id="1" name="Data_ID"/>
    <x:tableColumn id="2" name="Source_ID"/>
    <x:tableColumn id="3" name="Nucleobase"/>
    <x:tableColumn id="4" name="Sample_Name"/>
    <x:tableColumn id="5" name="Architecture"/>
    <x:tableColumn id="6" name="Polymer_System"/>
    <x:tableColumn id="7" name="Monomer_or_Block"/>
    <x:tableColumn id="8" name="Feed_mol_pct"/>
    <x:tableColumn id="9" name="Polymer_mol_pct"/>
    <x:tableColumn id="10" name="Polymer_wt_pct"/>
    <x:tableColumn id="11" name="Molecular_Weight_kDa_or_Mw"/>
    <x:tableColumn id="12" name="Dispersity_D_or_PDI"/>
    <x:tableColumn id="13" name="Method"/>
    <x:tableColumn id="14" name="Tg_C"/>
    <x:tableColumn id="15" name="Tg_Assignment"/>
    <x:tableColumn id="16" name="Predicted_Tg_C"/>
    <x:tableColumn id="17" name="Baseline_Tg_C"/>
    <x:tableColumn id="18" name="Delta_Tg_vs_Baseline_C"/>
    <x:tableColumn id="19" name="Td5_C"/>
    <x:tableColumn id="20" name="Secondary_Endotherm_or_Transition_C"/>
    <x:tableColumn id="21" name="Flow_or_Plateau_Info"/>
    <x:tableColumn id="22" name="First_step_weight_loss_calc_pct"/>
    <x:tableColumn id="23" name="First_step_weight_loss_measured_pct"/>
    <x:tableColumn id="24" name="Data_Status"/>
    <x:tableColumn id="25" name="Source_Title"/>
    <x:tableColumn id="26" name="DOI"/>
    <x:tableColumn id="27" name="Source_URL"/>
    <x:tableColumn id="2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QualitativeFindings" displayName="QualitativeFindings" ref="A1:I7" headerRowCount="1">
  <x:tableColumns count="9">
    <x:tableColumn id="1" name="Finding_ID"/>
    <x:tableColumn id="2" name="Source_ID"/>
    <x:tableColumn id="3" name="Nucleobase_or_System"/>
    <x:tableColumn id="4" name="Polymer_System"/>
    <x:tableColumn id="5" name="Finding"/>
    <x:tableColumn id="6" name="Numerical_Info"/>
    <x:tableColumn id="7" name="Implication_for_Tg_Modeling"/>
    <x:tableColumn id="8" name="Source_URL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InteractionNotes" displayName="InteractionNotes" ref="A1:H9" headerRowCount="1">
  <x:tableColumns count="8">
    <x:tableColumn id="1" name="Interaction_ID"/>
    <x:tableColumn id="2" name="Nucleobase_or_Pair"/>
    <x:tableColumn id="3" name="Interaction_Type"/>
    <x:tableColumn id="4" name="Association_Constant"/>
    <x:tableColumn id="5" name="Solvent_or_Context"/>
    <x:tableColumn id="6" name="Source_ID"/>
    <x:tableColumn id="7" name="Source_URL"/>
    <x:tableColumn id="8" name="Modeling_Not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sTable" displayName="ReferencesTable" ref="A1:G7" headerRowCount="1">
  <x:tableColumns count="7">
    <x:tableColumn id="1" name="Source_ID"/>
    <x:tableColumn id="2" name="Title"/>
    <x:tableColumn id="3" name="Citation"/>
    <x:tableColumn id="4" name="DOI"/>
    <x:tableColumn id="5" name="Source_URL"/>
    <x:tableColumn id="6" name="Data_Captured"/>
    <x:tableColumn id="7" name="Access_or_Quality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393b028d0641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5b97b480d444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a45d27a00a48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dbefba31ac4d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7f595b9baf473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40" t="str">
        <x:v>Nucleobase Tg Data Compilation</x:v>
      </x:c>
      <x:c r="B1" s="40" t="str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</x:row>
    <x:row r="2">
      <x:c r="A2" s="42" t="str">
        <x:v>Scope</x:v>
      </x:c>
      <x:c r="B2" s="43" t="str">
        <x:v>A/T/C/G nucleobase-functionalized acrylic polymer Tg and related thermal/thermomechanical data collected from open articles and the uploaded Liu 2024 PDF.</x:v>
      </x:c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</x:row>
    <x:row r="3">
      <x:c r="A3" s="42" t="str">
        <x:v>Key caveat</x:v>
      </x:c>
      <x:c r="B3" s="43" t="str">
        <x:v>A strict same-XX series for XX-PolyA / XX-PolyT / XX-PolyC / XX-PolyG was not found. The strongest comparable family is nBA/acrylic nucleobase copolymers plus A/T block-copolymer analogs.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</x:row>
    <x:row r="4">
      <x:c r="A4" s="42" t="str">
        <x:v>Best comparable view</x:v>
      </x:c>
      <x:c r="B4" s="43" t="str">
        <x:v>See Comparison_Snapshot for near-10 mol% random copolymers and homopolymer Tg ordering.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</x:row>
    <x:row r="5">
      <x:c r="A5" s="42" t="str">
        <x:v>Main data sheet</x:v>
      </x:c>
      <x:c r="B5" s="43" t="str">
        <x:v>Quantitative_Tg_Data has one row per reported/extracted Tg value. Delta_Tg_vs_Baseline_C is a formula when a baseline is meaningful.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</x:row>
    <x:row r="6">
      <x:c r="A6" s="42" t="str">
        <x:v>Qualitative sheet</x:v>
      </x:c>
      <x:c r="B6" s="43" t="str">
        <x:v>Qualitative_Findings records sources where a trend was found but no numerical Tg table was accessible.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</x:row>
    <x:row r="7">
      <x:c r="A7" s="42" t="str">
        <x:v>Uploaded paper note</x:v>
      </x:c>
      <x:c r="B7" s="43" t="str">
        <x:v>The Liu 2024 main PDF contains figure-labeled Tg values for G/C copolymers, but not the Supporting Information tables; values from this paper are flagged as extracted from figure/text.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</x:row>
    <x:row r="8">
      <x:c r="A8" s="42" t="str">
        <x:v>Created file</x:v>
      </x:c>
      <x:c r="B8" s="43" t="str">
        <x:v>Nucleobase_Tg_Data_Compilation.xlsx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12" hidden="0" customWidth="1"/>
    <x:col min="4" max="4" width="28" hidden="0" customWidth="1"/>
    <x:col min="5" max="5" width="24" hidden="0" customWidth="1"/>
    <x:col min="6" max="6" width="14" hidden="0" customWidth="1"/>
    <x:col min="7" max="7" width="10" hidden="0" customWidth="1"/>
    <x:col min="8" max="8" width="12" hidden="0" customWidth="1"/>
    <x:col min="9" max="9" width="20" hidden="0" customWidth="1"/>
    <x:col min="10" max="10" width="10" hidden="0" customWidth="1"/>
    <x:col min="11" max="11" width="70" hidden="0" customWidth="1"/>
  </x:cols>
  <x:sheetData>
    <x:row r="1" ht="42" customHeight="1">
      <x:c r="A1" s="54" t="str">
        <x:v>Comparison_ID</x:v>
      </x:c>
      <x:c r="B1" s="54" t="str">
        <x:v>Basis</x:v>
      </x:c>
      <x:c r="C1" s="54" t="str">
        <x:v>Nucleobase</x:v>
      </x:c>
      <x:c r="D1" s="54" t="str">
        <x:v>Sample</x:v>
      </x:c>
      <x:c r="E1" s="54" t="str">
        <x:v>Architecture</x:v>
      </x:c>
      <x:c r="F1" s="55" t="str">
        <x:v>Polymer_mol_pct</x:v>
      </x:c>
      <x:c r="G1" s="55" t="str">
        <x:v>Tg_C</x:v>
      </x:c>
      <x:c r="H1" s="55" t="str">
        <x:v>Baseline_Tg_C</x:v>
      </x:c>
      <x:c r="I1" s="55" t="str">
        <x:v>Delta_Tg_vs_PnBA_C</x:v>
      </x:c>
      <x:c r="J1" s="54" t="str">
        <x:v>Source_ID</x:v>
      </x:c>
      <x:c r="K1" s="54" t="str">
        <x:v>Caveat</x:v>
      </x:c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</x:row>
    <x:row r="2" ht="32" customHeight="1">
      <x:c r="A2" s="56" t="str">
        <x:v>C0</x:v>
      </x:c>
      <x:c r="B2" s="56" t="str">
        <x:v>Near-10 mol% random copolymers</x:v>
      </x:c>
      <x:c r="C2" s="56" t="str">
        <x:v>none</x:v>
      </x:c>
      <x:c r="D2" s="56" t="str">
        <x:v>poly(nBA)</x:v>
      </x:c>
      <x:c r="E2" s="56" t="str">
        <x:v>homopolymer baseline</x:v>
      </x:c>
      <x:c r="F2" s="56" t="n">
        <x:v>0</x:v>
      </x:c>
      <x:c r="G2" s="56" t="n">
        <x:v>-47</x:v>
      </x:c>
      <x:c r="H2" s="56" t="n">
        <x:v>-47</x:v>
      </x:c>
      <x:c r="I2" s="56" t="n">
        <x:f>IF(AND(ISNUMBER(G2),ISNUMBER(H2)),G2-H2,"")</x:f>
        <x:v>0</x:v>
      </x:c>
      <x:c r="J2" s="56" t="str">
        <x:v>S4</x:v>
      </x:c>
      <x:c r="K2" s="56" t="str">
        <x:v>Baseline from same family of nBA acrylic copolymers.</x:v>
      </x:c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</x:row>
    <x:row r="3" ht="32" customHeight="1">
      <x:c r="A3" s="56" t="str">
        <x:v>C1</x:v>
      </x:c>
      <x:c r="B3" s="56" t="str">
        <x:v>Near-10 mol% random copolymers</x:v>
      </x:c>
      <x:c r="C3" s="56" t="str">
        <x:v>A</x:v>
      </x:c>
      <x:c r="D3" s="56" t="str">
        <x:v>A-7</x:v>
      </x:c>
      <x:c r="E3" s="56" t="str">
        <x:v>random copolymer</x:v>
      </x:c>
      <x:c r="F3" s="56" t="n">
        <x:v>7</x:v>
      </x:c>
      <x:c r="G3" s="56" t="n">
        <x:v>-25</x:v>
      </x:c>
      <x:c r="H3" s="56" t="n">
        <x:v>-47</x:v>
      </x:c>
      <x:c r="I3" s="56" t="n">
        <x:f>IF(AND(ISNUMBER(G3),ISNUMBER(H3)),G3-H3,"")</x:f>
        <x:v>22</x:v>
      </x:c>
      <x:c r="J3" s="56" t="str">
        <x:v>S1</x:v>
      </x:c>
      <x:c r="K3" s="56" t="str">
        <x:v>Closest A point is 7 mol%, not 10 mol%.</x:v>
      </x:c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</x:row>
    <x:row r="4" ht="32" customHeight="1">
      <x:c r="A4" s="56" t="str">
        <x:v>C2</x:v>
      </x:c>
      <x:c r="B4" s="56" t="str">
        <x:v>Near-10 mol% random copolymers</x:v>
      </x:c>
      <x:c r="C4" s="56" t="str">
        <x:v>T</x:v>
      </x:c>
      <x:c r="D4" s="56" t="str">
        <x:v>T-10</x:v>
      </x:c>
      <x:c r="E4" s="56" t="str">
        <x:v>random copolymer</x:v>
      </x:c>
      <x:c r="F4" s="56" t="n">
        <x:v>10</x:v>
      </x:c>
      <x:c r="G4" s="56" t="n">
        <x:v>-30</x:v>
      </x:c>
      <x:c r="H4" s="56" t="n">
        <x:v>-47</x:v>
      </x:c>
      <x:c r="I4" s="56" t="n">
        <x:f>IF(AND(ISNUMBER(G4),ISNUMBER(H4)),G4-H4,"")</x:f>
        <x:v>17</x:v>
      </x:c>
      <x:c r="J4" s="56" t="str">
        <x:v>S1</x:v>
      </x:c>
      <x:c r="K4" s="56" t="str">
        <x:v>Direct 10 mol% T point.</x:v>
      </x:c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</x:row>
    <x:row r="5" ht="32" customHeight="1">
      <x:c r="A5" s="56" t="str">
        <x:v>C3</x:v>
      </x:c>
      <x:c r="B5" s="56" t="str">
        <x:v>Near-10 mol% random copolymers</x:v>
      </x:c>
      <x:c r="C5" s="56" t="str">
        <x:v>C</x:v>
      </x:c>
      <x:c r="D5" s="56" t="str">
        <x:v>CyA-10.5</x:v>
      </x:c>
      <x:c r="E5" s="56" t="str">
        <x:v>random copolymer</x:v>
      </x:c>
      <x:c r="F5" s="56" t="n">
        <x:v>10.5</x:v>
      </x:c>
      <x:c r="G5" s="56" t="n">
        <x:v>-28</x:v>
      </x:c>
      <x:c r="H5" s="56" t="n">
        <x:v>-47</x:v>
      </x:c>
      <x:c r="I5" s="56" t="n">
        <x:f>IF(AND(ISNUMBER(G5),ISNUMBER(H5)),G5-H5,"")</x:f>
        <x:v>19</x:v>
      </x:c>
      <x:c r="J5" s="56" t="str">
        <x:v>S4</x:v>
      </x:c>
      <x:c r="K5" s="56" t="str">
        <x:v>C data from later paper; same nBA/acrylic design family.</x:v>
      </x:c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</x:row>
    <x:row r="6" ht="32" customHeight="1">
      <x:c r="A6" s="56" t="str">
        <x:v>C4</x:v>
      </x:c>
      <x:c r="B6" s="56" t="str">
        <x:v>Near-10 mol% random copolymers</x:v>
      </x:c>
      <x:c r="C6" s="56" t="str">
        <x:v>G</x:v>
      </x:c>
      <x:c r="D6" s="56" t="str">
        <x:v>11PGuA-co-PnBA</x:v>
      </x:c>
      <x:c r="E6" s="56" t="str">
        <x:v>random copolymer</x:v>
      </x:c>
      <x:c r="F6" s="56" t="n">
        <x:v>11</x:v>
      </x:c>
      <x:c r="G6" s="56" t="n">
        <x:v>-17</x:v>
      </x:c>
      <x:c r="H6" s="56" t="n">
        <x:v>-47</x:v>
      </x:c>
      <x:c r="I6" s="56" t="n">
        <x:f>IF(AND(ISNUMBER(G6),ISNUMBER(H6)),G6-H6,"")</x:f>
        <x:v>30</x:v>
      </x:c>
      <x:c r="J6" s="56" t="str">
        <x:v>S5</x:v>
      </x:c>
      <x:c r="K6" s="56" t="str">
        <x:v>G value extracted from figure label in uploaded main paper; not from SI table.</x:v>
      </x:c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</x:row>
    <x:row r="7" ht="32" customHeight="1">
      <x:c r="A7" s="56" t="str">
        <x:v>C5</x:v>
      </x:c>
      <x:c r="B7" s="56" t="str">
        <x:v>Homopolymer acrylic nucleobase pendant</x:v>
      </x:c>
      <x:c r="C7" s="56" t="str">
        <x:v>A</x:v>
      </x:c>
      <x:c r="D7" s="56" t="str">
        <x:v>A-100</x:v>
      </x:c>
      <x:c r="E7" s="56" t="str">
        <x:v>homopolymer</x:v>
      </x:c>
      <x:c r="F7" s="56" t="n">
        <x:v>100</x:v>
      </x:c>
      <x:c r="G7" s="56" t="n">
        <x:v>65</x:v>
      </x:c>
      <x:c r="H7" s="56" t="n">
        <x:v>-47</x:v>
      </x:c>
      <x:c r="I7" s="56" t="n">
        <x:f>IF(AND(ISNUMBER(G7),ISNUMBER(H7)),G7-H7,"")</x:f>
        <x:v>112</x:v>
      </x:c>
      <x:c r="J7" s="56" t="str">
        <x:v>S1</x:v>
      </x:c>
      <x:c r="K7" s="56" t="str">
        <x:v>Acrylic adenine homopolymer.</x:v>
      </x:c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</x:row>
    <x:row r="8" ht="32" customHeight="1">
      <x:c r="A8" s="56" t="str">
        <x:v>C6</x:v>
      </x:c>
      <x:c r="B8" s="56" t="str">
        <x:v>Homopolymer acrylic nucleobase pendant</x:v>
      </x:c>
      <x:c r="C8" s="56" t="str">
        <x:v>T</x:v>
      </x:c>
      <x:c r="D8" s="56" t="str">
        <x:v>T-100</x:v>
      </x:c>
      <x:c r="E8" s="56" t="str">
        <x:v>homopolymer</x:v>
      </x:c>
      <x:c r="F8" s="56" t="n">
        <x:v>100</x:v>
      </x:c>
      <x:c r="G8" s="56" t="n">
        <x:v>43</x:v>
      </x:c>
      <x:c r="H8" s="56" t="n">
        <x:v>-47</x:v>
      </x:c>
      <x:c r="I8" s="56" t="n">
        <x:f>IF(AND(ISNUMBER(G8),ISNUMBER(H8)),G8-H8,"")</x:f>
        <x:v>90</x:v>
      </x:c>
      <x:c r="J8" s="56" t="str">
        <x:v>S1</x:v>
      </x:c>
      <x:c r="K8" s="56" t="str">
        <x:v>Acrylic thymine homopolymer.</x:v>
      </x:c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</x:row>
    <x:row r="9" ht="32" customHeight="1">
      <x:c r="A9" s="56" t="str">
        <x:v>C7</x:v>
      </x:c>
      <x:c r="B9" s="56" t="str">
        <x:v>Homopolymer acrylic nucleobase pendant</x:v>
      </x:c>
      <x:c r="C9" s="56" t="str">
        <x:v>C</x:v>
      </x:c>
      <x:c r="D9" s="56" t="str">
        <x:v>poly(CyA)</x:v>
      </x:c>
      <x:c r="E9" s="56" t="str">
        <x:v>homopolymer</x:v>
      </x:c>
      <x:c r="F9" s="56" t="n">
        <x:v>100</x:v>
      </x:c>
      <x:c r="G9" s="56" t="n">
        <x:v>90</x:v>
      </x:c>
      <x:c r="H9" s="56" t="n">
        <x:v>-47</x:v>
      </x:c>
      <x:c r="I9" s="56" t="n">
        <x:f>IF(AND(ISNUMBER(G9),ISNUMBER(H9)),G9-H9,"")</x:f>
        <x:v>137</x:v>
      </x:c>
      <x:c r="J9" s="56" t="str">
        <x:v>S4</x:v>
      </x:c>
      <x:c r="K9" s="56" t="str">
        <x:v>Cytosine acrylate homopolymer.</x:v>
      </x:c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</x:row>
    <x:row r="10" ht="32" customHeight="1">
      <x:c r="A10" s="56" t="str">
        <x:v>C8</x:v>
      </x:c>
      <x:c r="B10" s="56" t="str">
        <x:v>Homopolymer acrylic nucleobase pendant</x:v>
      </x:c>
      <x:c r="C10" s="56" t="str">
        <x:v>G</x:v>
      </x:c>
      <x:c r="D10" s="56" t="str">
        <x:v>PGuA</x:v>
      </x:c>
      <x:c r="E10" s="56" t="str">
        <x:v>homopolymer</x:v>
      </x:c>
      <x:c r="F10" s="56" t="n">
        <x:v>100</x:v>
      </x:c>
      <x:c r="G10" s="56" t="n">
        <x:v>130</x:v>
      </x:c>
      <x:c r="H10" s="56" t="n">
        <x:v>-47</x:v>
      </x:c>
      <x:c r="I10" s="56" t="n">
        <x:f>IF(AND(ISNUMBER(G10),ISNUMBER(H10)),G10-H10,"")</x:f>
        <x:v>177</x:v>
      </x:c>
      <x:c r="J10" s="56" t="str">
        <x:v>S5</x:v>
      </x:c>
      <x:c r="K10" s="56" t="str">
        <x:v>Guanine acrylate homopolymer from uploaded paper.</x:v>
      </x:c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</x:row>
    <x:row r="11" ht="32" customHeight="1">
      <x:c r="A11" s="56" t="str">
        <x:v>C9</x:v>
      </x:c>
      <x:c r="B11" s="56" t="str">
        <x:v>ABA hard-block DSC Tg</x:v>
      </x:c>
      <x:c r="C11" s="56" t="str">
        <x:v>A</x:v>
      </x:c>
      <x:c r="D11" s="56" t="str">
        <x:v>PABA hard block</x:v>
      </x:c>
      <x:c r="E11" s="56" t="str">
        <x:v>ABA triblock</x:v>
      </x:c>
      <x:c r="F11" s="56"/>
      <x:c r="G11" s="56" t="n">
        <x:v>76</x:v>
      </x:c>
      <x:c r="H11" s="56"/>
      <x:c r="I11" s="56" t="str">
        <x:f>IF(AND(ISNUMBER(G11),ISNUMBER(H11)),G11-H11,"")</x:f>
      </x:c>
      <x:c r="J11" s="56" t="str">
        <x:v>S3</x:v>
      </x:c>
      <x:c r="K11" s="56" t="str">
        <x:v>Hard-block Tg; not directly comparable to random copolymer Tg.</x:v>
      </x:c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</x:row>
    <x:row r="12" ht="32" customHeight="1">
      <x:c r="A12" s="56" t="str">
        <x:v>C10</x:v>
      </x:c>
      <x:c r="B12" s="56" t="str">
        <x:v>ABA hard-block DSC Tg</x:v>
      </x:c>
      <x:c r="C12" s="56" t="str">
        <x:v>T</x:v>
      </x:c>
      <x:c r="D12" s="56" t="str">
        <x:v>PTBT hard block</x:v>
      </x:c>
      <x:c r="E12" s="56" t="str">
        <x:v>ABA triblock</x:v>
      </x:c>
      <x:c r="F12" s="56"/>
      <x:c r="G12" s="56" t="n">
        <x:v>52</x:v>
      </x:c>
      <x:c r="H12" s="56"/>
      <x:c r="I12" s="56" t="str">
        <x:f>IF(AND(ISNUMBER(G12),ISNUMBER(H12)),G12-H12,"")</x:f>
      </x:c>
      <x:c r="J12" s="56" t="str">
        <x:v>S3</x:v>
      </x:c>
      <x:c r="K12" s="56" t="str">
        <x:v>Hard-block Tg; not directly comparable to random copolymer Tg.</x:v>
      </x:c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</x:row>
    <x:row r="13" ht="32" customHeight="1">
      <x:c r="A13" s="56" t="str">
        <x:v>C11</x:v>
      </x:c>
      <x:c r="B13" s="56" t="str">
        <x:v>ABA hard-phase blend DSC Tg</x:v>
      </x:c>
      <x:c r="C13" s="56" t="str">
        <x:v>A+T</x:v>
      </x:c>
      <x:c r="D13" s="56" t="str">
        <x:v>A:T 1:1 blend hard phase</x:v>
      </x:c>
      <x:c r="E13" s="56" t="str">
        <x:v>supramolecular blend</x:v>
      </x:c>
      <x:c r="F13" s="56"/>
      <x:c r="G13" s="56" t="n">
        <x:v>74</x:v>
      </x:c>
      <x:c r="H13" s="56"/>
      <x:c r="I13" s="56" t="str">
        <x:f>IF(AND(ISNUMBER(G13),ISNUMBER(H13)),G13-H13,"")</x:f>
      </x:c>
      <x:c r="J13" s="56" t="str">
        <x:v>S3</x:v>
      </x:c>
      <x:c r="K13" s="56" t="str">
        <x:v>Complementary A:T blend hard phase.</x:v>
      </x:c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</x:row>
  </x:sheetData>
  <x:pageMargins left="0.7" right="0.7" top="0.75" bottom="0.75" header="0.3" footer="0.3"/>
  <x:tableParts count="1">
    <x:tablePart xmlns:r="http://schemas.openxmlformats.org/officeDocument/2006/relationships" r:id="Rb4393b028d0641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16" hidden="0" customWidth="1"/>
    <x:col min="4" max="4" width="24" hidden="0" customWidth="1"/>
    <x:col min="5" max="5" width="26" hidden="0" customWidth="1"/>
    <x:col min="6" max="6" width="38" hidden="0" customWidth="1"/>
    <x:col min="7" max="7" width="28" hidden="0" customWidth="1"/>
    <x:col min="8" max="8" width="12" hidden="0" customWidth="1"/>
    <x:col min="9" max="9" width="13" hidden="0" customWidth="1"/>
    <x:col min="10" max="10" width="13" hidden="0" customWidth="1"/>
    <x:col min="11" max="11" width="22" hidden="0" customWidth="1"/>
    <x:col min="12" max="12" width="11" hidden="0" customWidth="1"/>
    <x:col min="13" max="13" width="14" hidden="0" customWidth="1"/>
    <x:col min="14" max="14" width="9" hidden="0" customWidth="1"/>
    <x:col min="15" max="15" width="28" hidden="0" customWidth="1"/>
    <x:col min="16" max="16" width="12" hidden="0" customWidth="1"/>
    <x:col min="17" max="17" width="12" hidden="0" customWidth="1"/>
    <x:col min="18" max="18" width="16" hidden="0" customWidth="1"/>
    <x:col min="19" max="19" width="10" hidden="0" customWidth="1"/>
    <x:col min="20" max="20" width="18" hidden="0" customWidth="1"/>
    <x:col min="21" max="21" width="45" hidden="0" customWidth="1"/>
    <x:col min="22" max="22" width="14" hidden="0" customWidth="1"/>
    <x:col min="23" max="23" width="14" hidden="0" customWidth="1"/>
    <x:col min="24" max="24" width="22" hidden="0" customWidth="1"/>
    <x:col min="25" max="25" width="42" hidden="0" customWidth="1"/>
    <x:col min="26" max="26" width="20" hidden="0" customWidth="1"/>
    <x:col min="27" max="27" width="34" hidden="0" customWidth="1"/>
    <x:col min="28" max="28" width="60" hidden="0" customWidth="1"/>
  </x:cols>
  <x:sheetData>
    <x:row r="1" ht="50" customHeight="1">
      <x:c r="A1" s="64" t="str">
        <x:v>Data_ID</x:v>
      </x:c>
      <x:c r="B1" s="64" t="str">
        <x:v>Source_ID</x:v>
      </x:c>
      <x:c r="C1" s="64" t="str">
        <x:v>Nucleobase</x:v>
      </x:c>
      <x:c r="D1" s="64" t="str">
        <x:v>Sample_Name</x:v>
      </x:c>
      <x:c r="E1" s="64" t="str">
        <x:v>Architecture</x:v>
      </x:c>
      <x:c r="F1" s="64" t="str">
        <x:v>Polymer_System</x:v>
      </x:c>
      <x:c r="G1" s="64" t="str">
        <x:v>Monomer_or_Block</x:v>
      </x:c>
      <x:c r="H1" s="65" t="str">
        <x:v>Feed_mol_pct</x:v>
      </x:c>
      <x:c r="I1" s="65" t="str">
        <x:v>Polymer_mol_pct</x:v>
      </x:c>
      <x:c r="J1" s="65" t="str">
        <x:v>Polymer_wt_pct</x:v>
      </x:c>
      <x:c r="K1" s="64" t="str">
        <x:v>Molecular_Weight_kDa_or_Mw</x:v>
      </x:c>
      <x:c r="L1" s="65" t="str">
        <x:v>Dispersity_D_or_PDI</x:v>
      </x:c>
      <x:c r="M1" s="64" t="str">
        <x:v>Method</x:v>
      </x:c>
      <x:c r="N1" s="65" t="str">
        <x:v>Tg_C</x:v>
      </x:c>
      <x:c r="O1" s="64" t="str">
        <x:v>Tg_Assignment</x:v>
      </x:c>
      <x:c r="P1" s="65" t="str">
        <x:v>Predicted_Tg_C</x:v>
      </x:c>
      <x:c r="Q1" s="65" t="str">
        <x:v>Baseline_Tg_C</x:v>
      </x:c>
      <x:c r="R1" s="65" t="str">
        <x:v>Delta_Tg_vs_Baseline_C</x:v>
      </x:c>
      <x:c r="S1" s="65" t="str">
        <x:v>Td5_C</x:v>
      </x:c>
      <x:c r="T1" s="65" t="str">
        <x:v>Secondary_Endotherm_or_Transition_C</x:v>
      </x:c>
      <x:c r="U1" s="64" t="str">
        <x:v>Flow_or_Plateau_Info</x:v>
      </x:c>
      <x:c r="V1" s="65" t="str">
        <x:v>First_step_weight_loss_calc_pct</x:v>
      </x:c>
      <x:c r="W1" s="65" t="str">
        <x:v>First_step_weight_loss_measured_pct</x:v>
      </x:c>
      <x:c r="X1" s="64" t="str">
        <x:v>Data_Status</x:v>
      </x:c>
      <x:c r="Y1" s="64" t="str">
        <x:v>Source_Title</x:v>
      </x:c>
      <x:c r="Z1" s="64" t="str">
        <x:v>DOI</x:v>
      </x:c>
      <x:c r="AA1" s="64" t="str">
        <x:v>Source_URL</x:v>
      </x:c>
      <x:c r="AB1" s="64" t="str">
        <x:v>Notes</x:v>
      </x:c>
    </x:row>
    <x:row r="2" ht="34" customHeight="1">
      <x:c r="A2" s="56" t="str">
        <x:v>AT2012-A-4</x:v>
      </x:c>
      <x:c r="B2" s="56" t="str">
        <x:v>S1</x:v>
      </x:c>
      <x:c r="C2" s="56" t="str">
        <x:v>A</x:v>
      </x:c>
      <x:c r="D2" s="56" t="str">
        <x:v>A-4</x:v>
      </x:c>
      <x:c r="E2" s="56" t="str">
        <x:v>random copolymer</x:v>
      </x:c>
      <x:c r="F2" s="56" t="str">
        <x:v>poly(nBA-co-acrylic adenine)</x:v>
      </x:c>
      <x:c r="G2" s="56" t="str">
        <x:v>acrylic adenine</x:v>
      </x:c>
      <x:c r="H2" s="56" t="n">
        <x:v>5</x:v>
      </x:c>
      <x:c r="I2" s="56" t="n">
        <x:v>4</x:v>
      </x:c>
      <x:c r="J2" s="56"/>
      <x:c r="K2" s="56" t="n">
        <x:v>95</x:v>
      </x:c>
      <x:c r="L2" s="56" t="n">
        <x:v>2.09</x:v>
      </x:c>
      <x:c r="M2" s="56" t="str">
        <x:v>DSC</x:v>
      </x:c>
      <x:c r="N2" s="56" t="n">
        <x:v>-41</x:v>
      </x:c>
      <x:c r="O2" s="56" t="str">
        <x:v>single Tg</x:v>
      </x:c>
      <x:c r="P2" s="56"/>
      <x:c r="Q2" s="56" t="n">
        <x:v>-47</x:v>
      </x:c>
      <x:c r="R2" s="56" t="n">
        <x:f>IF(AND(ISNUMBER(N2),ISNUMBER(Q2)),N2-Q2,"")</x:f>
        <x:v>6</x:v>
      </x:c>
      <x:c r="S2" s="56"/>
      <x:c r="T2" s="56"/>
      <x:c r="U2" s="56"/>
      <x:c r="V2" s="56"/>
      <x:c r="W2" s="56"/>
      <x:c r="X2" s="56" t="str">
        <x:v>reported in source table</x:v>
      </x:c>
      <x:c r="Y2" s="56" t="str">
        <x:v>Nucleobase Self-Assembly in Supramolecular Adhesives</x:v>
      </x:c>
      <x:c r="Z2" s="56" t="str">
        <x:v>10.1021/ma202122r</x:v>
      </x:c>
      <x:c r="AA2" s="56" t="str">
        <x:v>https://doi.org/10.1021/ma202122r</x:v>
      </x:c>
      <x:c r="AB2" s="56" t="str">
        <x:v>Acrylic random copolymer with n-butyl acrylate.</x:v>
      </x:c>
    </x:row>
    <x:row r="3" ht="34" customHeight="1">
      <x:c r="A3" s="56" t="str">
        <x:v>AT2012-A-7</x:v>
      </x:c>
      <x:c r="B3" s="56" t="str">
        <x:v>S1</x:v>
      </x:c>
      <x:c r="C3" s="56" t="str">
        <x:v>A</x:v>
      </x:c>
      <x:c r="D3" s="56" t="str">
        <x:v>A-7</x:v>
      </x:c>
      <x:c r="E3" s="56" t="str">
        <x:v>random copolymer</x:v>
      </x:c>
      <x:c r="F3" s="56" t="str">
        <x:v>poly(nBA-co-acrylic adenine)</x:v>
      </x:c>
      <x:c r="G3" s="56" t="str">
        <x:v>acrylic adenine</x:v>
      </x:c>
      <x:c r="H3" s="56" t="n">
        <x:v>10</x:v>
      </x:c>
      <x:c r="I3" s="56" t="n">
        <x:v>7</x:v>
      </x:c>
      <x:c r="J3" s="56"/>
      <x:c r="K3" s="56" t="n">
        <x:v>125</x:v>
      </x:c>
      <x:c r="L3" s="56" t="n">
        <x:v>1.64</x:v>
      </x:c>
      <x:c r="M3" s="56" t="str">
        <x:v>DSC</x:v>
      </x:c>
      <x:c r="N3" s="56" t="n">
        <x:v>-25</x:v>
      </x:c>
      <x:c r="O3" s="56" t="str">
        <x:v>single Tg</x:v>
      </x:c>
      <x:c r="P3" s="56"/>
      <x:c r="Q3" s="56" t="n">
        <x:v>-47</x:v>
      </x:c>
      <x:c r="R3" s="56" t="n">
        <x:f>IF(AND(ISNUMBER(N3),ISNUMBER(Q3)),N3-Q3,"")</x:f>
        <x:v>22</x:v>
      </x:c>
      <x:c r="S3" s="56"/>
      <x:c r="T3" s="56"/>
      <x:c r="U3" s="56"/>
      <x:c r="V3" s="56"/>
      <x:c r="W3" s="56"/>
      <x:c r="X3" s="56" t="str">
        <x:v>reported in source table</x:v>
      </x:c>
      <x:c r="Y3" s="56" t="str">
        <x:v>Nucleobase Self-Assembly in Supramolecular Adhesives</x:v>
      </x:c>
      <x:c r="Z3" s="56" t="str">
        <x:v>10.1021/ma202122r</x:v>
      </x:c>
      <x:c r="AA3" s="56" t="str">
        <x:v>https://doi.org/10.1021/ma202122r</x:v>
      </x:c>
      <x:c r="AB3" s="56" t="str">
        <x:v>Acrylic random copolymer with n-butyl acrylate.</x:v>
      </x:c>
    </x:row>
    <x:row r="4" ht="34" customHeight="1">
      <x:c r="A4" s="56" t="str">
        <x:v>AT2012-A-16</x:v>
      </x:c>
      <x:c r="B4" s="56" t="str">
        <x:v>S1</x:v>
      </x:c>
      <x:c r="C4" s="56" t="str">
        <x:v>A</x:v>
      </x:c>
      <x:c r="D4" s="56" t="str">
        <x:v>A-16</x:v>
      </x:c>
      <x:c r="E4" s="56" t="str">
        <x:v>random copolymer</x:v>
      </x:c>
      <x:c r="F4" s="56" t="str">
        <x:v>poly(nBA-co-acrylic adenine)</x:v>
      </x:c>
      <x:c r="G4" s="56" t="str">
        <x:v>acrylic adenine</x:v>
      </x:c>
      <x:c r="H4" s="56" t="n">
        <x:v>19</x:v>
      </x:c>
      <x:c r="I4" s="56" t="n">
        <x:v>16</x:v>
      </x:c>
      <x:c r="J4" s="56"/>
      <x:c r="K4" s="56" t="n">
        <x:v>279</x:v>
      </x:c>
      <x:c r="L4" s="56" t="n">
        <x:v>2.39</x:v>
      </x:c>
      <x:c r="M4" s="56" t="str">
        <x:v>DSC</x:v>
      </x:c>
      <x:c r="N4" s="56" t="n">
        <x:v>0</x:v>
      </x:c>
      <x:c r="O4" s="56" t="str">
        <x:v>single Tg</x:v>
      </x:c>
      <x:c r="P4" s="56"/>
      <x:c r="Q4" s="56" t="n">
        <x:v>-47</x:v>
      </x:c>
      <x:c r="R4" s="56" t="n">
        <x:f>IF(AND(ISNUMBER(N4),ISNUMBER(Q4)),N4-Q4,"")</x:f>
        <x:v>47</x:v>
      </x:c>
      <x:c r="S4" s="56"/>
      <x:c r="T4" s="56"/>
      <x:c r="U4" s="56"/>
      <x:c r="V4" s="56"/>
      <x:c r="W4" s="56"/>
      <x:c r="X4" s="56" t="str">
        <x:v>reported in source table</x:v>
      </x:c>
      <x:c r="Y4" s="56" t="str">
        <x:v>Nucleobase Self-Assembly in Supramolecular Adhesives</x:v>
      </x:c>
      <x:c r="Z4" s="56" t="str">
        <x:v>10.1021/ma202122r</x:v>
      </x:c>
      <x:c r="AA4" s="56" t="str">
        <x:v>https://doi.org/10.1021/ma202122r</x:v>
      </x:c>
      <x:c r="AB4" s="56" t="str">
        <x:v>Acrylic random copolymer with n-butyl acrylate.</x:v>
      </x:c>
    </x:row>
    <x:row r="5" ht="34" customHeight="1">
      <x:c r="A5" s="56" t="str">
        <x:v>AT2012-A-100</x:v>
      </x:c>
      <x:c r="B5" s="56" t="str">
        <x:v>S1</x:v>
      </x:c>
      <x:c r="C5" s="56" t="str">
        <x:v>A</x:v>
      </x:c>
      <x:c r="D5" s="56" t="str">
        <x:v>A-100</x:v>
      </x:c>
      <x:c r="E5" s="56" t="str">
        <x:v>homopolymer</x:v>
      </x:c>
      <x:c r="F5" s="56" t="str">
        <x:v>poly(acrylic adenine)</x:v>
      </x:c>
      <x:c r="G5" s="56" t="str">
        <x:v>acrylic adenine</x:v>
      </x:c>
      <x:c r="H5" s="56" t="n">
        <x:v>100</x:v>
      </x:c>
      <x:c r="I5" s="56" t="n">
        <x:v>100</x:v>
      </x:c>
      <x:c r="J5" s="56"/>
      <x:c r="K5" s="56"/>
      <x:c r="L5" s="56"/>
      <x:c r="M5" s="56" t="str">
        <x:v>DSC</x:v>
      </x:c>
      <x:c r="N5" s="56" t="n">
        <x:v>65</x:v>
      </x:c>
      <x:c r="O5" s="56" t="str">
        <x:v>single Tg</x:v>
      </x:c>
      <x:c r="P5" s="56"/>
      <x:c r="Q5" s="56" t="n">
        <x:v>-47</x:v>
      </x:c>
      <x:c r="R5" s="56" t="n">
        <x:f>IF(AND(ISNUMBER(N5),ISNUMBER(Q5)),N5-Q5,"")</x:f>
        <x:v>112</x:v>
      </x:c>
      <x:c r="S5" s="56"/>
      <x:c r="T5" s="56"/>
      <x:c r="U5" s="56"/>
      <x:c r="V5" s="56"/>
      <x:c r="W5" s="56"/>
      <x:c r="X5" s="56" t="str">
        <x:v>reported in source table</x:v>
      </x:c>
      <x:c r="Y5" s="56" t="str">
        <x:v>Nucleobase Self-Assembly in Supramolecular Adhesives</x:v>
      </x:c>
      <x:c r="Z5" s="56" t="str">
        <x:v>10.1021/ma202122r</x:v>
      </x:c>
      <x:c r="AA5" s="56" t="str">
        <x:v>https://doi.org/10.1021/ma202122r</x:v>
      </x:c>
      <x:c r="AB5" s="56" t="str">
        <x:v>Homopolymer; delta vs PnBA is a rough reference only.</x:v>
      </x:c>
    </x:row>
    <x:row r="6" ht="34" customHeight="1">
      <x:c r="A6" s="56" t="str">
        <x:v>AT2012-T-10</x:v>
      </x:c>
      <x:c r="B6" s="56" t="str">
        <x:v>S1</x:v>
      </x:c>
      <x:c r="C6" s="56" t="str">
        <x:v>T</x:v>
      </x:c>
      <x:c r="D6" s="56" t="str">
        <x:v>T-10</x:v>
      </x:c>
      <x:c r="E6" s="56" t="str">
        <x:v>random copolymer</x:v>
      </x:c>
      <x:c r="F6" s="56" t="str">
        <x:v>poly(nBA-co-acrylic thymine)</x:v>
      </x:c>
      <x:c r="G6" s="56" t="str">
        <x:v>acrylic thymine</x:v>
      </x:c>
      <x:c r="H6" s="56" t="n">
        <x:v>10</x:v>
      </x:c>
      <x:c r="I6" s="56" t="n">
        <x:v>10</x:v>
      </x:c>
      <x:c r="J6" s="56"/>
      <x:c r="K6" s="56" t="n">
        <x:v>122</x:v>
      </x:c>
      <x:c r="L6" s="56" t="n">
        <x:v>2.4</x:v>
      </x:c>
      <x:c r="M6" s="56" t="str">
        <x:v>DSC</x:v>
      </x:c>
      <x:c r="N6" s="56" t="n">
        <x:v>-30</x:v>
      </x:c>
      <x:c r="O6" s="56" t="str">
        <x:v>single Tg</x:v>
      </x:c>
      <x:c r="P6" s="56"/>
      <x:c r="Q6" s="56" t="n">
        <x:v>-47</x:v>
      </x:c>
      <x:c r="R6" s="56" t="n">
        <x:f>IF(AND(ISNUMBER(N6),ISNUMBER(Q6)),N6-Q6,"")</x:f>
        <x:v>17</x:v>
      </x:c>
      <x:c r="S6" s="56"/>
      <x:c r="T6" s="56"/>
      <x:c r="U6" s="56"/>
      <x:c r="V6" s="56"/>
      <x:c r="W6" s="56"/>
      <x:c r="X6" s="56" t="str">
        <x:v>reported in source table</x:v>
      </x:c>
      <x:c r="Y6" s="56" t="str">
        <x:v>Nucleobase Self-Assembly in Supramolecular Adhesives</x:v>
      </x:c>
      <x:c r="Z6" s="56" t="str">
        <x:v>10.1021/ma202122r</x:v>
      </x:c>
      <x:c r="AA6" s="56" t="str">
        <x:v>https://doi.org/10.1021/ma202122r</x:v>
      </x:c>
      <x:c r="AB6" s="56" t="str">
        <x:v>Acrylic random copolymer with n-butyl acrylate.</x:v>
      </x:c>
    </x:row>
    <x:row r="7" ht="34" customHeight="1">
      <x:c r="A7" s="56" t="str">
        <x:v>AT2012-T-20</x:v>
      </x:c>
      <x:c r="B7" s="56" t="str">
        <x:v>S1</x:v>
      </x:c>
      <x:c r="C7" s="56" t="str">
        <x:v>T</x:v>
      </x:c>
      <x:c r="D7" s="56" t="str">
        <x:v>T-20</x:v>
      </x:c>
      <x:c r="E7" s="56" t="str">
        <x:v>random copolymer</x:v>
      </x:c>
      <x:c r="F7" s="56" t="str">
        <x:v>poly(nBA-co-acrylic thymine)</x:v>
      </x:c>
      <x:c r="G7" s="56" t="str">
        <x:v>acrylic thymine</x:v>
      </x:c>
      <x:c r="H7" s="56" t="n">
        <x:v>20</x:v>
      </x:c>
      <x:c r="I7" s="56" t="n">
        <x:v>20</x:v>
      </x:c>
      <x:c r="J7" s="56"/>
      <x:c r="K7" s="56" t="n">
        <x:v>155</x:v>
      </x:c>
      <x:c r="L7" s="56" t="n">
        <x:v>2.4</x:v>
      </x:c>
      <x:c r="M7" s="56" t="str">
        <x:v>DSC</x:v>
      </x:c>
      <x:c r="N7" s="56" t="n">
        <x:v>-14</x:v>
      </x:c>
      <x:c r="O7" s="56" t="str">
        <x:v>single Tg</x:v>
      </x:c>
      <x:c r="P7" s="56"/>
      <x:c r="Q7" s="56" t="n">
        <x:v>-47</x:v>
      </x:c>
      <x:c r="R7" s="56" t="n">
        <x:f>IF(AND(ISNUMBER(N7),ISNUMBER(Q7)),N7-Q7,"")</x:f>
        <x:v>33</x:v>
      </x:c>
      <x:c r="S7" s="56"/>
      <x:c r="T7" s="56"/>
      <x:c r="U7" s="56"/>
      <x:c r="V7" s="56"/>
      <x:c r="W7" s="56"/>
      <x:c r="X7" s="56" t="str">
        <x:v>reported in source table</x:v>
      </x:c>
      <x:c r="Y7" s="56" t="str">
        <x:v>Nucleobase Self-Assembly in Supramolecular Adhesives</x:v>
      </x:c>
      <x:c r="Z7" s="56" t="str">
        <x:v>10.1021/ma202122r</x:v>
      </x:c>
      <x:c r="AA7" s="56" t="str">
        <x:v>https://doi.org/10.1021/ma202122r</x:v>
      </x:c>
      <x:c r="AB7" s="56" t="str">
        <x:v>Acrylic random copolymer with n-butyl acrylate.</x:v>
      </x:c>
    </x:row>
    <x:row r="8" ht="34" customHeight="1">
      <x:c r="A8" s="56" t="str">
        <x:v>AT2012-T-25</x:v>
      </x:c>
      <x:c r="B8" s="56" t="str">
        <x:v>S1</x:v>
      </x:c>
      <x:c r="C8" s="56" t="str">
        <x:v>T</x:v>
      </x:c>
      <x:c r="D8" s="56" t="str">
        <x:v>T-25</x:v>
      </x:c>
      <x:c r="E8" s="56" t="str">
        <x:v>random copolymer</x:v>
      </x:c>
      <x:c r="F8" s="56" t="str">
        <x:v>poly(nBA-co-acrylic thymine)</x:v>
      </x:c>
      <x:c r="G8" s="56" t="str">
        <x:v>acrylic thymine</x:v>
      </x:c>
      <x:c r="H8" s="56" t="n">
        <x:v>29</x:v>
      </x:c>
      <x:c r="I8" s="56" t="n">
        <x:v>25</x:v>
      </x:c>
      <x:c r="J8" s="56"/>
      <x:c r="K8" s="56" t="n">
        <x:v>164</x:v>
      </x:c>
      <x:c r="L8" s="56" t="n">
        <x:v>2.73</x:v>
      </x:c>
      <x:c r="M8" s="56" t="str">
        <x:v>DSC</x:v>
      </x:c>
      <x:c r="N8" s="56" t="n">
        <x:v>1</x:v>
      </x:c>
      <x:c r="O8" s="56" t="str">
        <x:v>single Tg</x:v>
      </x:c>
      <x:c r="P8" s="56"/>
      <x:c r="Q8" s="56" t="n">
        <x:v>-47</x:v>
      </x:c>
      <x:c r="R8" s="56" t="n">
        <x:f>IF(AND(ISNUMBER(N8),ISNUMBER(Q8)),N8-Q8,"")</x:f>
        <x:v>48</x:v>
      </x:c>
      <x:c r="S8" s="56"/>
      <x:c r="T8" s="56"/>
      <x:c r="U8" s="56"/>
      <x:c r="V8" s="56"/>
      <x:c r="W8" s="56"/>
      <x:c r="X8" s="56" t="str">
        <x:v>reported in source table</x:v>
      </x:c>
      <x:c r="Y8" s="56" t="str">
        <x:v>Nucleobase Self-Assembly in Supramolecular Adhesives</x:v>
      </x:c>
      <x:c r="Z8" s="56" t="str">
        <x:v>10.1021/ma202122r</x:v>
      </x:c>
      <x:c r="AA8" s="56" t="str">
        <x:v>https://doi.org/10.1021/ma202122r</x:v>
      </x:c>
      <x:c r="AB8" s="56" t="str">
        <x:v>Acrylic random copolymer with n-butyl acrylate.</x:v>
      </x:c>
    </x:row>
    <x:row r="9" ht="34" customHeight="1">
      <x:c r="A9" s="56" t="str">
        <x:v>AT2012-T-32</x:v>
      </x:c>
      <x:c r="B9" s="56" t="str">
        <x:v>S1</x:v>
      </x:c>
      <x:c r="C9" s="56" t="str">
        <x:v>T</x:v>
      </x:c>
      <x:c r="D9" s="56" t="str">
        <x:v>T-32</x:v>
      </x:c>
      <x:c r="E9" s="56" t="str">
        <x:v>random copolymer</x:v>
      </x:c>
      <x:c r="F9" s="56" t="str">
        <x:v>poly(nBA-co-acrylic thymine)</x:v>
      </x:c>
      <x:c r="G9" s="56" t="str">
        <x:v>acrylic thymine</x:v>
      </x:c>
      <x:c r="H9" s="56" t="n">
        <x:v>40</x:v>
      </x:c>
      <x:c r="I9" s="56" t="n">
        <x:v>32</x:v>
      </x:c>
      <x:c r="J9" s="56"/>
      <x:c r="K9" s="56"/>
      <x:c r="L9" s="56"/>
      <x:c r="M9" s="56" t="str">
        <x:v>DSC</x:v>
      </x:c>
      <x:c r="N9" s="56" t="n">
        <x:v>19</x:v>
      </x:c>
      <x:c r="O9" s="56" t="str">
        <x:v>single Tg</x:v>
      </x:c>
      <x:c r="P9" s="56"/>
      <x:c r="Q9" s="56" t="n">
        <x:v>-47</x:v>
      </x:c>
      <x:c r="R9" s="56" t="n">
        <x:f>IF(AND(ISNUMBER(N9),ISNUMBER(Q9)),N9-Q9,"")</x:f>
        <x:v>66</x:v>
      </x:c>
      <x:c r="S9" s="56"/>
      <x:c r="T9" s="56"/>
      <x:c r="U9" s="56"/>
      <x:c r="V9" s="56"/>
      <x:c r="W9" s="56"/>
      <x:c r="X9" s="56" t="str">
        <x:v>reported in source table</x:v>
      </x:c>
      <x:c r="Y9" s="56" t="str">
        <x:v>Nucleobase Self-Assembly in Supramolecular Adhesives</x:v>
      </x:c>
      <x:c r="Z9" s="56" t="str">
        <x:v>10.1021/ma202122r</x:v>
      </x:c>
      <x:c r="AA9" s="56" t="str">
        <x:v>https://doi.org/10.1021/ma202122r</x:v>
      </x:c>
      <x:c r="AB9" s="56" t="str">
        <x:v>Acrylic random copolymer with n-butyl acrylate.</x:v>
      </x:c>
    </x:row>
    <x:row r="10" ht="34" customHeight="1">
      <x:c r="A10" s="56" t="str">
        <x:v>AT2012-T-100</x:v>
      </x:c>
      <x:c r="B10" s="56" t="str">
        <x:v>S1</x:v>
      </x:c>
      <x:c r="C10" s="56" t="str">
        <x:v>T</x:v>
      </x:c>
      <x:c r="D10" s="56" t="str">
        <x:v>T-100</x:v>
      </x:c>
      <x:c r="E10" s="56" t="str">
        <x:v>homopolymer</x:v>
      </x:c>
      <x:c r="F10" s="56" t="str">
        <x:v>poly(acrylic thymine)</x:v>
      </x:c>
      <x:c r="G10" s="56" t="str">
        <x:v>acrylic thymine</x:v>
      </x:c>
      <x:c r="H10" s="56" t="n">
        <x:v>100</x:v>
      </x:c>
      <x:c r="I10" s="56" t="n">
        <x:v>100</x:v>
      </x:c>
      <x:c r="J10" s="56"/>
      <x:c r="K10" s="56"/>
      <x:c r="L10" s="56"/>
      <x:c r="M10" s="56" t="str">
        <x:v>DSC</x:v>
      </x:c>
      <x:c r="N10" s="56" t="n">
        <x:v>43</x:v>
      </x:c>
      <x:c r="O10" s="56" t="str">
        <x:v>single Tg</x:v>
      </x:c>
      <x:c r="P10" s="56"/>
      <x:c r="Q10" s="56" t="n">
        <x:v>-47</x:v>
      </x:c>
      <x:c r="R10" s="56" t="n">
        <x:f>IF(AND(ISNUMBER(N10),ISNUMBER(Q10)),N10-Q10,"")</x:f>
        <x:v>90</x:v>
      </x:c>
      <x:c r="S10" s="56"/>
      <x:c r="T10" s="56"/>
      <x:c r="U10" s="56"/>
      <x:c r="V10" s="56"/>
      <x:c r="W10" s="56"/>
      <x:c r="X10" s="56" t="str">
        <x:v>reported in source table</x:v>
      </x:c>
      <x:c r="Y10" s="56" t="str">
        <x:v>Nucleobase Self-Assembly in Supramolecular Adhesives</x:v>
      </x:c>
      <x:c r="Z10" s="56" t="str">
        <x:v>10.1021/ma202122r</x:v>
      </x:c>
      <x:c r="AA10" s="56" t="str">
        <x:v>https://doi.org/10.1021/ma202122r</x:v>
      </x:c>
      <x:c r="AB10" s="56" t="str">
        <x:v>Homopolymer; delta vs PnBA is a rough reference only.</x:v>
      </x:c>
    </x:row>
    <x:row r="11" ht="34" customHeight="1">
      <x:c r="A11" s="56" t="str">
        <x:v>AT2012-StA100</x:v>
      </x:c>
      <x:c r="B11" s="56" t="str">
        <x:v>S1</x:v>
      </x:c>
      <x:c r="C11" s="56" t="str">
        <x:v>A</x:v>
      </x:c>
      <x:c r="D11" s="56" t="str">
        <x:v>StA100</x:v>
      </x:c>
      <x:c r="E11" s="56" t="str">
        <x:v>styrenic homopolymer analog</x:v>
      </x:c>
      <x:c r="F11" s="56" t="str">
        <x:v>poly(styrenic adenine)</x:v>
      </x:c>
      <x:c r="G11" s="56" t="str">
        <x:v>styrenic adenine</x:v>
      </x:c>
      <x:c r="H11" s="56" t="n">
        <x:v>100</x:v>
      </x:c>
      <x:c r="I11" s="56" t="n">
        <x:v>100</x:v>
      </x:c>
      <x:c r="J11" s="56"/>
      <x:c r="K11" s="56"/>
      <x:c r="L11" s="56"/>
      <x:c r="M11" s="56" t="str">
        <x:v>DSC</x:v>
      </x:c>
      <x:c r="N11" s="56" t="n">
        <x:v>204</x:v>
      </x:c>
      <x:c r="O11" s="56" t="str">
        <x:v>single Tg</x:v>
      </x:c>
      <x:c r="P11" s="56"/>
      <x:c r="Q11" s="56"/>
      <x:c r="R11" s="56" t="str">
        <x:f>IF(AND(ISNUMBER(N11),ISNUMBER(Q11)),N11-Q11,"")</x:f>
      </x:c>
      <x:c r="S11" s="56"/>
      <x:c r="T11" s="56"/>
      <x:c r="U11" s="56"/>
      <x:c r="V11" s="56"/>
      <x:c r="W11" s="56"/>
      <x:c r="X11" s="56" t="str">
        <x:v>reported in source table</x:v>
      </x:c>
      <x:c r="Y11" s="56" t="str">
        <x:v>Nucleobase Self-Assembly in Supramolecular Adhesives</x:v>
      </x:c>
      <x:c r="Z11" s="56" t="str">
        <x:v>10.1021/ma202122r</x:v>
      </x:c>
      <x:c r="AA11" s="56" t="str">
        <x:v>https://doi.org/10.1021/ma202122r</x:v>
      </x:c>
      <x:c r="AB11" s="56" t="str">
        <x:v>Styrenic analog; backbone differs from acrylic/nBA systems, so do not compare delta directly.</x:v>
      </x:c>
    </x:row>
    <x:row r="12" ht="34" customHeight="1">
      <x:c r="A12" s="56" t="str">
        <x:v>AT2012-StT100</x:v>
      </x:c>
      <x:c r="B12" s="56" t="str">
        <x:v>S1</x:v>
      </x:c>
      <x:c r="C12" s="56" t="str">
        <x:v>T</x:v>
      </x:c>
      <x:c r="D12" s="56" t="str">
        <x:v>StT100</x:v>
      </x:c>
      <x:c r="E12" s="56" t="str">
        <x:v>styrenic homopolymer analog</x:v>
      </x:c>
      <x:c r="F12" s="56" t="str">
        <x:v>poly(styrenic thymine)</x:v>
      </x:c>
      <x:c r="G12" s="56" t="str">
        <x:v>styrenic thymine</x:v>
      </x:c>
      <x:c r="H12" s="56" t="n">
        <x:v>100</x:v>
      </x:c>
      <x:c r="I12" s="56" t="n">
        <x:v>100</x:v>
      </x:c>
      <x:c r="J12" s="56"/>
      <x:c r="K12" s="56"/>
      <x:c r="L12" s="56"/>
      <x:c r="M12" s="56" t="str">
        <x:v>DSC</x:v>
      </x:c>
      <x:c r="N12" s="56" t="n">
        <x:v>168</x:v>
      </x:c>
      <x:c r="O12" s="56" t="str">
        <x:v>single Tg</x:v>
      </x:c>
      <x:c r="P12" s="56"/>
      <x:c r="Q12" s="56"/>
      <x:c r="R12" s="56" t="str">
        <x:f>IF(AND(ISNUMBER(N12),ISNUMBER(Q12)),N12-Q12,"")</x:f>
      </x:c>
      <x:c r="S12" s="56"/>
      <x:c r="T12" s="56"/>
      <x:c r="U12" s="56"/>
      <x:c r="V12" s="56"/>
      <x:c r="W12" s="56"/>
      <x:c r="X12" s="56" t="str">
        <x:v>reported in source table</x:v>
      </x:c>
      <x:c r="Y12" s="56" t="str">
        <x:v>Nucleobase Self-Assembly in Supramolecular Adhesives</x:v>
      </x:c>
      <x:c r="Z12" s="56" t="str">
        <x:v>10.1021/ma202122r</x:v>
      </x:c>
      <x:c r="AA12" s="56" t="str">
        <x:v>https://doi.org/10.1021/ma202122r</x:v>
      </x:c>
      <x:c r="AB12" s="56" t="str">
        <x:v>Styrenic analog; backbone differs from acrylic/nBA systems, so do not compare delta directly.</x:v>
      </x:c>
    </x:row>
    <x:row r="13" ht="34" customHeight="1">
      <x:c r="A13" s="56" t="str">
        <x:v>ABC2014-PTBA3-DMA-soft</x:v>
      </x:c>
      <x:c r="B13" s="56" t="str">
        <x:v>S2</x:v>
      </x:c>
      <x:c r="C13" s="56" t="str">
        <x:v>A+T</x:v>
      </x:c>
      <x:c r="D13" s="56" t="str">
        <x:v>PTBA3</x:v>
      </x:c>
      <x:c r="E13" s="56" t="str">
        <x:v>ABC triblock</x:v>
      </x:c>
      <x:c r="F13" s="56" t="str">
        <x:v>poly(ThA-b-nBA-b-AdA)</x:v>
      </x:c>
      <x:c r="G13" s="56" t="str">
        <x:v>ThA and AdA external blocks</x:v>
      </x:c>
      <x:c r="H13" s="56"/>
      <x:c r="I13" s="56"/>
      <x:c r="J13" s="56" t="n">
        <x:v>31</x:v>
      </x:c>
      <x:c r="K13" s="56" t="str">
        <x:v>9.4-31.5-4.6</x:v>
      </x:c>
      <x:c r="L13" s="56"/>
      <x:c r="M13" s="56" t="str">
        <x:v>DMA tan delta</x:v>
      </x:c>
      <x:c r="N13" s="56" t="n">
        <x:v>-23</x:v>
      </x:c>
      <x:c r="O13" s="56" t="str">
        <x:v>soft-phase Tg from tan delta</x:v>
      </x:c>
      <x:c r="P13" s="56"/>
      <x:c r="Q13" s="56" t="n">
        <x:v>-47</x:v>
      </x:c>
      <x:c r="R13" s="56" t="n">
        <x:f>IF(AND(ISNUMBER(N13),ISNUMBER(Q13)),N13-Q13,"")</x:f>
        <x:v>24</x:v>
      </x:c>
      <x:c r="S13" s="56" t="str">
        <x:v>near 290</x:v>
      </x:c>
      <x:c r="T13" s="56"/>
      <x:c r="U13" s="56" t="str">
        <x:v>Tflow 80 °C; ThA:AdA = 2.1</x:v>
      </x:c>
      <x:c r="V13" s="56"/>
      <x:c r="W13" s="56"/>
      <x:c r="X13" s="56" t="str">
        <x:v>reported in source table</x:v>
      </x:c>
      <x:c r="Y13" s="56" t="str">
        <x:v>Nucleobase-functionalized ABC triblock copolymers: self-assembly of supramolecular architectures</x:v>
      </x:c>
      <x:c r="Z13" s="56" t="str">
        <x:v>10.1039/C4CC03363A</x:v>
      </x:c>
      <x:c r="AA13" s="56" t="str">
        <x:v>https://doi.org/10.1039/C4CC03363A</x:v>
      </x:c>
      <x:c r="AB13" s="56" t="str">
        <x:v>A/T complementary external blocks form a single hard phase.</x:v>
      </x:c>
    </x:row>
    <x:row r="14" ht="34" customHeight="1">
      <x:c r="A14" s="56" t="str">
        <x:v>ABC2014-PTBA3-DSC-soft</x:v>
      </x:c>
      <x:c r="B14" s="56" t="str">
        <x:v>S2</x:v>
      </x:c>
      <x:c r="C14" s="56" t="str">
        <x:v>A+T</x:v>
      </x:c>
      <x:c r="D14" s="56" t="str">
        <x:v>PTBA3</x:v>
      </x:c>
      <x:c r="E14" s="56" t="str">
        <x:v>ABC triblock</x:v>
      </x:c>
      <x:c r="F14" s="56" t="str">
        <x:v>poly(ThA-b-nBA-b-AdA)</x:v>
      </x:c>
      <x:c r="G14" s="56" t="str">
        <x:v>ThA and AdA external blocks</x:v>
      </x:c>
      <x:c r="H14" s="56"/>
      <x:c r="I14" s="56"/>
      <x:c r="J14" s="56" t="n">
        <x:v>31</x:v>
      </x:c>
      <x:c r="K14" s="56" t="str">
        <x:v>9.4-31.5-4.6</x:v>
      </x:c>
      <x:c r="L14" s="56"/>
      <x:c r="M14" s="56" t="str">
        <x:v>DSC</x:v>
      </x:c>
      <x:c r="N14" s="56" t="n">
        <x:v>-44</x:v>
      </x:c>
      <x:c r="O14" s="56" t="str">
        <x:v>soft PnBA block Tg</x:v>
      </x:c>
      <x:c r="P14" s="56"/>
      <x:c r="Q14" s="56" t="n">
        <x:v>-47</x:v>
      </x:c>
      <x:c r="R14" s="56" t="n">
        <x:f>IF(AND(ISNUMBER(N14),ISNUMBER(Q14)),N14-Q14,"")</x:f>
        <x:v>3</x:v>
      </x:c>
      <x:c r="S14" s="56" t="str">
        <x:v>near 290</x:v>
      </x:c>
      <x:c r="T14" s="56"/>
      <x:c r="U14" s="56" t="str">
        <x:v>Tflow 80 °C; ThA:AdA = 2.1</x:v>
      </x:c>
      <x:c r="V14" s="56"/>
      <x:c r="W14" s="56"/>
      <x:c r="X14" s="56" t="str">
        <x:v>reported in source table</x:v>
      </x:c>
      <x:c r="Y14" s="56" t="str">
        <x:v>Nucleobase-functionalized ABC triblock copolymers: self-assembly of supramolecular architectures</x:v>
      </x:c>
      <x:c r="Z14" s="56" t="str">
        <x:v>10.1039/C4CC03363A</x:v>
      </x:c>
      <x:c r="AA14" s="56" t="str">
        <x:v>https://doi.org/10.1039/C4CC03363A</x:v>
      </x:c>
      <x:c r="AB14" s="56" t="str">
        <x:v>A/T complementary external blocks form a single hard phase.</x:v>
      </x:c>
    </x:row>
    <x:row r="15" ht="34" customHeight="1">
      <x:c r="A15" s="56" t="str">
        <x:v>ABC2014-PTBA3-DSC-hard</x:v>
      </x:c>
      <x:c r="B15" s="56" t="str">
        <x:v>S2</x:v>
      </x:c>
      <x:c r="C15" s="56" t="str">
        <x:v>A+T</x:v>
      </x:c>
      <x:c r="D15" s="56" t="str">
        <x:v>PTBA3</x:v>
      </x:c>
      <x:c r="E15" s="56" t="str">
        <x:v>ABC triblock</x:v>
      </x:c>
      <x:c r="F15" s="56" t="str">
        <x:v>poly(ThA-b-nBA-b-AdA)</x:v>
      </x:c>
      <x:c r="G15" s="56" t="str">
        <x:v>ThA and AdA external blocks</x:v>
      </x:c>
      <x:c r="H15" s="56"/>
      <x:c r="I15" s="56"/>
      <x:c r="J15" s="56" t="n">
        <x:v>31</x:v>
      </x:c>
      <x:c r="K15" s="56" t="str">
        <x:v>9.4-31.5-4.6</x:v>
      </x:c>
      <x:c r="L15" s="56"/>
      <x:c r="M15" s="56" t="str">
        <x:v>DSC</x:v>
      </x:c>
      <x:c r="N15" s="56" t="n">
        <x:v>66</x:v>
      </x:c>
      <x:c r="O15" s="56" t="str">
        <x:v>single A/T hard-phase Tg</x:v>
      </x:c>
      <x:c r="P15" s="56"/>
      <x:c r="Q15" s="56"/>
      <x:c r="R15" s="56" t="str">
        <x:f>IF(AND(ISNUMBER(N15),ISNUMBER(Q15)),N15-Q15,"")</x:f>
      </x:c>
      <x:c r="S15" s="56" t="str">
        <x:v>near 290</x:v>
      </x:c>
      <x:c r="T15" s="56"/>
      <x:c r="U15" s="56" t="str">
        <x:v>Tflow 80 °C; ThA:AdA = 2.1</x:v>
      </x:c>
      <x:c r="V15" s="56"/>
      <x:c r="W15" s="56"/>
      <x:c r="X15" s="56" t="str">
        <x:v>reported in source table</x:v>
      </x:c>
      <x:c r="Y15" s="56" t="str">
        <x:v>Nucleobase-functionalized ABC triblock copolymers: self-assembly of supramolecular architectures</x:v>
      </x:c>
      <x:c r="Z15" s="56" t="str">
        <x:v>10.1039/C4CC03363A</x:v>
      </x:c>
      <x:c r="AA15" s="56" t="str">
        <x:v>https://doi.org/10.1039/C4CC03363A</x:v>
      </x:c>
      <x:c r="AB15" s="56" t="str">
        <x:v>A/T complementary external blocks form a single hard phase.</x:v>
      </x:c>
    </x:row>
    <x:row r="16" ht="34" customHeight="1">
      <x:c r="A16" s="56" t="str">
        <x:v>ABC2014-PTBA2-DMA-soft</x:v>
      </x:c>
      <x:c r="B16" s="56" t="str">
        <x:v>S2</x:v>
      </x:c>
      <x:c r="C16" s="56" t="str">
        <x:v>A+T</x:v>
      </x:c>
      <x:c r="D16" s="56" t="str">
        <x:v>PTBA2</x:v>
      </x:c>
      <x:c r="E16" s="56" t="str">
        <x:v>ABC triblock</x:v>
      </x:c>
      <x:c r="F16" s="56" t="str">
        <x:v>poly(ThA-b-nBA-b-AdA)</x:v>
      </x:c>
      <x:c r="G16" s="56" t="str">
        <x:v>ThA and AdA external blocks</x:v>
      </x:c>
      <x:c r="H16" s="56"/>
      <x:c r="I16" s="56"/>
      <x:c r="J16" s="56" t="n">
        <x:v>35</x:v>
      </x:c>
      <x:c r="K16" s="56" t="str">
        <x:v>9.4-27.2-5.3</x:v>
      </x:c>
      <x:c r="L16" s="56"/>
      <x:c r="M16" s="56" t="str">
        <x:v>DMA tan delta</x:v>
      </x:c>
      <x:c r="N16" s="56" t="n">
        <x:v>-21</x:v>
      </x:c>
      <x:c r="O16" s="56" t="str">
        <x:v>soft-phase Tg from tan delta</x:v>
      </x:c>
      <x:c r="P16" s="56"/>
      <x:c r="Q16" s="56" t="n">
        <x:v>-47</x:v>
      </x:c>
      <x:c r="R16" s="56" t="n">
        <x:f>IF(AND(ISNUMBER(N16),ISNUMBER(Q16)),N16-Q16,"")</x:f>
        <x:v>26</x:v>
      </x:c>
      <x:c r="S16" s="56" t="str">
        <x:v>near 290</x:v>
      </x:c>
      <x:c r="T16" s="56"/>
      <x:c r="U16" s="56" t="str">
        <x:v>Tflow 84 °C; ThA:AdA = 1.8</x:v>
      </x:c>
      <x:c r="V16" s="56"/>
      <x:c r="W16" s="56"/>
      <x:c r="X16" s="56" t="str">
        <x:v>reported in source table</x:v>
      </x:c>
      <x:c r="Y16" s="56" t="str">
        <x:v>Nucleobase-functionalized ABC triblock copolymers: self-assembly of supramolecular architectures</x:v>
      </x:c>
      <x:c r="Z16" s="56" t="str">
        <x:v>10.1039/C4CC03363A</x:v>
      </x:c>
      <x:c r="AA16" s="56" t="str">
        <x:v>https://doi.org/10.1039/C4CC03363A</x:v>
      </x:c>
      <x:c r="AB16" s="56" t="str">
        <x:v>A/T complementary external blocks form a single hard phase.</x:v>
      </x:c>
    </x:row>
    <x:row r="17" ht="34" customHeight="1">
      <x:c r="A17" s="56" t="str">
        <x:v>ABC2014-PTBA2-DSC-soft</x:v>
      </x:c>
      <x:c r="B17" s="56" t="str">
        <x:v>S2</x:v>
      </x:c>
      <x:c r="C17" s="56" t="str">
        <x:v>A+T</x:v>
      </x:c>
      <x:c r="D17" s="56" t="str">
        <x:v>PTBA2</x:v>
      </x:c>
      <x:c r="E17" s="56" t="str">
        <x:v>ABC triblock</x:v>
      </x:c>
      <x:c r="F17" s="56" t="str">
        <x:v>poly(ThA-b-nBA-b-AdA)</x:v>
      </x:c>
      <x:c r="G17" s="56" t="str">
        <x:v>ThA and AdA external blocks</x:v>
      </x:c>
      <x:c r="H17" s="56"/>
      <x:c r="I17" s="56"/>
      <x:c r="J17" s="56" t="n">
        <x:v>35</x:v>
      </x:c>
      <x:c r="K17" s="56" t="str">
        <x:v>9.4-27.2-5.3</x:v>
      </x:c>
      <x:c r="L17" s="56"/>
      <x:c r="M17" s="56" t="str">
        <x:v>DSC</x:v>
      </x:c>
      <x:c r="N17" s="56" t="n">
        <x:v>-45</x:v>
      </x:c>
      <x:c r="O17" s="56" t="str">
        <x:v>soft PnBA block Tg</x:v>
      </x:c>
      <x:c r="P17" s="56"/>
      <x:c r="Q17" s="56" t="n">
        <x:v>-47</x:v>
      </x:c>
      <x:c r="R17" s="56" t="n">
        <x:f>IF(AND(ISNUMBER(N17),ISNUMBER(Q17)),N17-Q17,"")</x:f>
        <x:v>2</x:v>
      </x:c>
      <x:c r="S17" s="56" t="str">
        <x:v>near 290</x:v>
      </x:c>
      <x:c r="T17" s="56"/>
      <x:c r="U17" s="56" t="str">
        <x:v>Tflow 84 °C; ThA:AdA = 1.8</x:v>
      </x:c>
      <x:c r="V17" s="56"/>
      <x:c r="W17" s="56"/>
      <x:c r="X17" s="56" t="str">
        <x:v>reported in source table</x:v>
      </x:c>
      <x:c r="Y17" s="56" t="str">
        <x:v>Nucleobase-functionalized ABC triblock copolymers: self-assembly of supramolecular architectures</x:v>
      </x:c>
      <x:c r="Z17" s="56" t="str">
        <x:v>10.1039/C4CC03363A</x:v>
      </x:c>
      <x:c r="AA17" s="56" t="str">
        <x:v>https://doi.org/10.1039/C4CC03363A</x:v>
      </x:c>
      <x:c r="AB17" s="56" t="str">
        <x:v>A/T complementary external blocks form a single hard phase.</x:v>
      </x:c>
    </x:row>
    <x:row r="18" ht="34" customHeight="1">
      <x:c r="A18" s="56" t="str">
        <x:v>ABC2014-PTBA2-DSC-hard</x:v>
      </x:c>
      <x:c r="B18" s="56" t="str">
        <x:v>S2</x:v>
      </x:c>
      <x:c r="C18" s="56" t="str">
        <x:v>A+T</x:v>
      </x:c>
      <x:c r="D18" s="56" t="str">
        <x:v>PTBA2</x:v>
      </x:c>
      <x:c r="E18" s="56" t="str">
        <x:v>ABC triblock</x:v>
      </x:c>
      <x:c r="F18" s="56" t="str">
        <x:v>poly(ThA-b-nBA-b-AdA)</x:v>
      </x:c>
      <x:c r="G18" s="56" t="str">
        <x:v>ThA and AdA external blocks</x:v>
      </x:c>
      <x:c r="H18" s="56"/>
      <x:c r="I18" s="56"/>
      <x:c r="J18" s="56" t="n">
        <x:v>35</x:v>
      </x:c>
      <x:c r="K18" s="56" t="str">
        <x:v>9.4-27.2-5.3</x:v>
      </x:c>
      <x:c r="L18" s="56"/>
      <x:c r="M18" s="56" t="str">
        <x:v>DSC</x:v>
      </x:c>
      <x:c r="N18" s="56" t="n">
        <x:v>67</x:v>
      </x:c>
      <x:c r="O18" s="56" t="str">
        <x:v>single A/T hard-phase Tg</x:v>
      </x:c>
      <x:c r="P18" s="56"/>
      <x:c r="Q18" s="56"/>
      <x:c r="R18" s="56" t="str">
        <x:f>IF(AND(ISNUMBER(N18),ISNUMBER(Q18)),N18-Q18,"")</x:f>
      </x:c>
      <x:c r="S18" s="56" t="str">
        <x:v>near 290</x:v>
      </x:c>
      <x:c r="T18" s="56"/>
      <x:c r="U18" s="56" t="str">
        <x:v>Tflow 84 °C; ThA:AdA = 1.8</x:v>
      </x:c>
      <x:c r="V18" s="56"/>
      <x:c r="W18" s="56"/>
      <x:c r="X18" s="56" t="str">
        <x:v>reported in source table</x:v>
      </x:c>
      <x:c r="Y18" s="56" t="str">
        <x:v>Nucleobase-functionalized ABC triblock copolymers: self-assembly of supramolecular architectures</x:v>
      </x:c>
      <x:c r="Z18" s="56" t="str">
        <x:v>10.1039/C4CC03363A</x:v>
      </x:c>
      <x:c r="AA18" s="56" t="str">
        <x:v>https://doi.org/10.1039/C4CC03363A</x:v>
      </x:c>
      <x:c r="AB18" s="56" t="str">
        <x:v>A/T complementary external blocks form a single hard phase.</x:v>
      </x:c>
    </x:row>
    <x:row r="19" ht="34" customHeight="1">
      <x:c r="A19" s="56" t="str">
        <x:v>ABC2014-PTBA1-DMA-soft</x:v>
      </x:c>
      <x:c r="B19" s="56" t="str">
        <x:v>S2</x:v>
      </x:c>
      <x:c r="C19" s="56" t="str">
        <x:v>A+T</x:v>
      </x:c>
      <x:c r="D19" s="56" t="str">
        <x:v>PTBA1</x:v>
      </x:c>
      <x:c r="E19" s="56" t="str">
        <x:v>ABC triblock</x:v>
      </x:c>
      <x:c r="F19" s="56" t="str">
        <x:v>poly(ThA-b-nBA-b-AdA)</x:v>
      </x:c>
      <x:c r="G19" s="56" t="str">
        <x:v>ThA and AdA external blocks</x:v>
      </x:c>
      <x:c r="H19" s="56"/>
      <x:c r="I19" s="56"/>
      <x:c r="J19" s="56" t="n">
        <x:v>46</x:v>
      </x:c>
      <x:c r="K19" s="56" t="str">
        <x:v>9.4-19.3-6.8</x:v>
      </x:c>
      <x:c r="L19" s="56"/>
      <x:c r="M19" s="56" t="str">
        <x:v>DMA tan delta</x:v>
      </x:c>
      <x:c r="N19" s="56" t="n">
        <x:v>-25</x:v>
      </x:c>
      <x:c r="O19" s="56" t="str">
        <x:v>soft-phase Tg from tan delta</x:v>
      </x:c>
      <x:c r="P19" s="56"/>
      <x:c r="Q19" s="56" t="n">
        <x:v>-47</x:v>
      </x:c>
      <x:c r="R19" s="56" t="n">
        <x:f>IF(AND(ISNUMBER(N19),ISNUMBER(Q19)),N19-Q19,"")</x:f>
        <x:v>22</x:v>
      </x:c>
      <x:c r="S19" s="56" t="str">
        <x:v>near 290</x:v>
      </x:c>
      <x:c r="T19" s="56"/>
      <x:c r="U19" s="56" t="str">
        <x:v>Tflow 85 °C; ThA:AdA = 1.5</x:v>
      </x:c>
      <x:c r="V19" s="56"/>
      <x:c r="W19" s="56"/>
      <x:c r="X19" s="56" t="str">
        <x:v>reported in source table</x:v>
      </x:c>
      <x:c r="Y19" s="56" t="str">
        <x:v>Nucleobase-functionalized ABC triblock copolymers: self-assembly of supramolecular architectures</x:v>
      </x:c>
      <x:c r="Z19" s="56" t="str">
        <x:v>10.1039/C4CC03363A</x:v>
      </x:c>
      <x:c r="AA19" s="56" t="str">
        <x:v>https://doi.org/10.1039/C4CC03363A</x:v>
      </x:c>
      <x:c r="AB19" s="56" t="str">
        <x:v>A/T complementary external blocks form a single hard phase.</x:v>
      </x:c>
    </x:row>
    <x:row r="20" ht="34" customHeight="1">
      <x:c r="A20" s="56" t="str">
        <x:v>ABC2014-PTBA1-DSC-soft</x:v>
      </x:c>
      <x:c r="B20" s="56" t="str">
        <x:v>S2</x:v>
      </x:c>
      <x:c r="C20" s="56" t="str">
        <x:v>A+T</x:v>
      </x:c>
      <x:c r="D20" s="56" t="str">
        <x:v>PTBA1</x:v>
      </x:c>
      <x:c r="E20" s="56" t="str">
        <x:v>ABC triblock</x:v>
      </x:c>
      <x:c r="F20" s="56" t="str">
        <x:v>poly(ThA-b-nBA-b-AdA)</x:v>
      </x:c>
      <x:c r="G20" s="56" t="str">
        <x:v>ThA and AdA external blocks</x:v>
      </x:c>
      <x:c r="H20" s="56"/>
      <x:c r="I20" s="56"/>
      <x:c r="J20" s="56" t="n">
        <x:v>46</x:v>
      </x:c>
      <x:c r="K20" s="56" t="str">
        <x:v>9.4-19.3-6.8</x:v>
      </x:c>
      <x:c r="L20" s="56"/>
      <x:c r="M20" s="56" t="str">
        <x:v>DSC</x:v>
      </x:c>
      <x:c r="N20" s="56" t="n">
        <x:v>-44</x:v>
      </x:c>
      <x:c r="O20" s="56" t="str">
        <x:v>soft PnBA block Tg</x:v>
      </x:c>
      <x:c r="P20" s="56"/>
      <x:c r="Q20" s="56" t="n">
        <x:v>-47</x:v>
      </x:c>
      <x:c r="R20" s="56" t="n">
        <x:f>IF(AND(ISNUMBER(N20),ISNUMBER(Q20)),N20-Q20,"")</x:f>
        <x:v>3</x:v>
      </x:c>
      <x:c r="S20" s="56" t="str">
        <x:v>near 290</x:v>
      </x:c>
      <x:c r="T20" s="56"/>
      <x:c r="U20" s="56" t="str">
        <x:v>Tflow 85 °C; ThA:AdA = 1.5</x:v>
      </x:c>
      <x:c r="V20" s="56"/>
      <x:c r="W20" s="56"/>
      <x:c r="X20" s="56" t="str">
        <x:v>reported in source table</x:v>
      </x:c>
      <x:c r="Y20" s="56" t="str">
        <x:v>Nucleobase-functionalized ABC triblock copolymers: self-assembly of supramolecular architectures</x:v>
      </x:c>
      <x:c r="Z20" s="56" t="str">
        <x:v>10.1039/C4CC03363A</x:v>
      </x:c>
      <x:c r="AA20" s="56" t="str">
        <x:v>https://doi.org/10.1039/C4CC03363A</x:v>
      </x:c>
      <x:c r="AB20" s="56" t="str">
        <x:v>A/T complementary external blocks form a single hard phase.</x:v>
      </x:c>
    </x:row>
    <x:row r="21" ht="34" customHeight="1">
      <x:c r="A21" s="56" t="str">
        <x:v>ABC2014-PTBA1-DSC-hard</x:v>
      </x:c>
      <x:c r="B21" s="56" t="str">
        <x:v>S2</x:v>
      </x:c>
      <x:c r="C21" s="56" t="str">
        <x:v>A+T</x:v>
      </x:c>
      <x:c r="D21" s="56" t="str">
        <x:v>PTBA1</x:v>
      </x:c>
      <x:c r="E21" s="56" t="str">
        <x:v>ABC triblock</x:v>
      </x:c>
      <x:c r="F21" s="56" t="str">
        <x:v>poly(ThA-b-nBA-b-AdA)</x:v>
      </x:c>
      <x:c r="G21" s="56" t="str">
        <x:v>ThA and AdA external blocks</x:v>
      </x:c>
      <x:c r="H21" s="56"/>
      <x:c r="I21" s="56"/>
      <x:c r="J21" s="56" t="n">
        <x:v>46</x:v>
      </x:c>
      <x:c r="K21" s="56" t="str">
        <x:v>9.4-19.3-6.8</x:v>
      </x:c>
      <x:c r="L21" s="56"/>
      <x:c r="M21" s="56" t="str">
        <x:v>DSC</x:v>
      </x:c>
      <x:c r="N21" s="56" t="n">
        <x:v>72</x:v>
      </x:c>
      <x:c r="O21" s="56" t="str">
        <x:v>single A/T hard-phase Tg</x:v>
      </x:c>
      <x:c r="P21" s="56"/>
      <x:c r="Q21" s="56"/>
      <x:c r="R21" s="56" t="str">
        <x:f>IF(AND(ISNUMBER(N21),ISNUMBER(Q21)),N21-Q21,"")</x:f>
      </x:c>
      <x:c r="S21" s="56" t="str">
        <x:v>near 290</x:v>
      </x:c>
      <x:c r="T21" s="56"/>
      <x:c r="U21" s="56" t="str">
        <x:v>Tflow 85 °C; ThA:AdA = 1.5</x:v>
      </x:c>
      <x:c r="V21" s="56"/>
      <x:c r="W21" s="56"/>
      <x:c r="X21" s="56" t="str">
        <x:v>reported in source table</x:v>
      </x:c>
      <x:c r="Y21" s="56" t="str">
        <x:v>Nucleobase-functionalized ABC triblock copolymers: self-assembly of supramolecular architectures</x:v>
      </x:c>
      <x:c r="Z21" s="56" t="str">
        <x:v>10.1039/C4CC03363A</x:v>
      </x:c>
      <x:c r="AA21" s="56" t="str">
        <x:v>https://doi.org/10.1039/C4CC03363A</x:v>
      </x:c>
      <x:c r="AB21" s="56" t="str">
        <x:v>A/T complementary external blocks form a single hard phase.</x:v>
      </x:c>
    </x:row>
    <x:row r="22" ht="34" customHeight="1">
      <x:c r="A22" s="56" t="str">
        <x:v>ABA2015-PABA-DSC-soft</x:v>
      </x:c>
      <x:c r="B22" s="56" t="str">
        <x:v>S3</x:v>
      </x:c>
      <x:c r="C22" s="56" t="str">
        <x:v>A</x:v>
      </x:c>
      <x:c r="D22" s="56" t="str">
        <x:v>PABA</x:v>
      </x:c>
      <x:c r="E22" s="56" t="str">
        <x:v>ABA triblock</x:v>
      </x:c>
      <x:c r="F22" s="56" t="str">
        <x:v>poly(AdA-b-nBA-b-AdA)</x:v>
      </x:c>
      <x:c r="G22" s="56" t="str">
        <x:v>nucleobase acrylic external blocks</x:v>
      </x:c>
      <x:c r="H22" s="56"/>
      <x:c r="I22" s="56"/>
      <x:c r="J22" s="56" t="n">
        <x:v>38</x:v>
      </x:c>
      <x:c r="K22" s="56" t="str">
        <x:v>27.6-44.8-27.6</x:v>
      </x:c>
      <x:c r="L22" s="56"/>
      <x:c r="M22" s="56" t="str">
        <x:v>DSC</x:v>
      </x:c>
      <x:c r="N22" s="56" t="n">
        <x:v>-39</x:v>
      </x:c>
      <x:c r="O22" s="56" t="str">
        <x:v>soft PnBA block Tg</x:v>
      </x:c>
      <x:c r="P22" s="56"/>
      <x:c r="Q22" s="56" t="n">
        <x:v>-47</x:v>
      </x:c>
      <x:c r="R22" s="56" t="n">
        <x:f>IF(AND(ISNUMBER(N22),ISNUMBER(Q22)),N22-Q22,"")</x:f>
        <x:v>8</x:v>
      </x:c>
      <x:c r="S22" s="56" t="n">
        <x:v>282</x:v>
      </x:c>
      <x:c r="T22" s="56"/>
      <x:c r="U22" s="56" t="str">
        <x:v>Major plateau range 76 °C; terminal flow near 90 °C</x:v>
      </x:c>
      <x:c r="V22" s="56"/>
      <x:c r="W22" s="56"/>
      <x:c r="X22" s="56" t="str">
        <x:v>reported in source text/table</x:v>
      </x:c>
      <x:c r="Y22" s="56" t="str">
        <x:v>Nucleobase-functionalized acrylic ABA triblock copolymers and supramolecular blends</x:v>
      </x:c>
      <x:c r="Z22" s="56" t="str">
        <x:v>10.1039/C4PY01798F</x:v>
      </x:c>
      <x:c r="AA22" s="56" t="str">
        <x:v>https://doi.org/10.1039/C4PY01798F</x:v>
      </x:c>
      <x:c r="AB22" s="56" t="str">
        <x:v>DP of each AdA external block = 83; total Mn 72.4 kDa.</x:v>
      </x:c>
    </x:row>
    <x:row r="23" ht="34" customHeight="1">
      <x:c r="A23" s="56" t="str">
        <x:v>ABA2015-PABA-DSC-hard</x:v>
      </x:c>
      <x:c r="B23" s="56" t="str">
        <x:v>S3</x:v>
      </x:c>
      <x:c r="C23" s="56" t="str">
        <x:v>A</x:v>
      </x:c>
      <x:c r="D23" s="56" t="str">
        <x:v>PABA</x:v>
      </x:c>
      <x:c r="E23" s="56" t="str">
        <x:v>ABA triblock</x:v>
      </x:c>
      <x:c r="F23" s="56" t="str">
        <x:v>poly(AdA-b-nBA-b-AdA)</x:v>
      </x:c>
      <x:c r="G23" s="56" t="str">
        <x:v>nucleobase acrylic external blocks</x:v>
      </x:c>
      <x:c r="H23" s="56"/>
      <x:c r="I23" s="56"/>
      <x:c r="J23" s="56" t="n">
        <x:v>38</x:v>
      </x:c>
      <x:c r="K23" s="56" t="str">
        <x:v>27.6-44.8-27.6</x:v>
      </x:c>
      <x:c r="L23" s="56"/>
      <x:c r="M23" s="56" t="str">
        <x:v>DSC</x:v>
      </x:c>
      <x:c r="N23" s="56" t="n">
        <x:v>76</x:v>
      </x:c>
      <x:c r="O23" s="56" t="str">
        <x:v>nucleobase hard-block Tg</x:v>
      </x:c>
      <x:c r="P23" s="56"/>
      <x:c r="Q23" s="56"/>
      <x:c r="R23" s="56" t="str">
        <x:f>IF(AND(ISNUMBER(N23),ISNUMBER(Q23)),N23-Q23,"")</x:f>
      </x:c>
      <x:c r="S23" s="56" t="n">
        <x:v>282</x:v>
      </x:c>
      <x:c r="T23" s="56"/>
      <x:c r="U23" s="56" t="str">
        <x:v>Major plateau range 76 °C; terminal flow near 90 °C</x:v>
      </x:c>
      <x:c r="V23" s="56"/>
      <x:c r="W23" s="56"/>
      <x:c r="X23" s="56" t="str">
        <x:v>reported in source text/table</x:v>
      </x:c>
      <x:c r="Y23" s="56" t="str">
        <x:v>Nucleobase-functionalized acrylic ABA triblock copolymers and supramolecular blends</x:v>
      </x:c>
      <x:c r="Z23" s="56" t="str">
        <x:v>10.1039/C4PY01798F</x:v>
      </x:c>
      <x:c r="AA23" s="56" t="str">
        <x:v>https://doi.org/10.1039/C4PY01798F</x:v>
      </x:c>
      <x:c r="AB23" s="56" t="str">
        <x:v>DP of each AdA external block = 83; total Mn 72.4 kDa.</x:v>
      </x:c>
    </x:row>
    <x:row r="24" ht="34" customHeight="1">
      <x:c r="A24" s="56" t="str">
        <x:v>ABA2015-PABA-DMA-soft</x:v>
      </x:c>
      <x:c r="B24" s="56" t="str">
        <x:v>S3</x:v>
      </x:c>
      <x:c r="C24" s="56" t="str">
        <x:v>A</x:v>
      </x:c>
      <x:c r="D24" s="56" t="str">
        <x:v>PABA</x:v>
      </x:c>
      <x:c r="E24" s="56" t="str">
        <x:v>ABA triblock</x:v>
      </x:c>
      <x:c r="F24" s="56" t="str">
        <x:v>poly(AdA-b-nBA-b-AdA)</x:v>
      </x:c>
      <x:c r="G24" s="56" t="str">
        <x:v>nucleobase acrylic external blocks</x:v>
      </x:c>
      <x:c r="H24" s="56"/>
      <x:c r="I24" s="56"/>
      <x:c r="J24" s="56" t="n">
        <x:v>38</x:v>
      </x:c>
      <x:c r="K24" s="56" t="str">
        <x:v>27.6-44.8-27.6</x:v>
      </x:c>
      <x:c r="L24" s="56"/>
      <x:c r="M24" s="56" t="str">
        <x:v>DMA tan delta</x:v>
      </x:c>
      <x:c r="N24" s="56" t="n">
        <x:v>-31</x:v>
      </x:c>
      <x:c r="O24" s="56" t="str">
        <x:v>soft-phase Tg from tan delta</x:v>
      </x:c>
      <x:c r="P24" s="56"/>
      <x:c r="Q24" s="56" t="n">
        <x:v>-47</x:v>
      </x:c>
      <x:c r="R24" s="56" t="n">
        <x:f>IF(AND(ISNUMBER(N24),ISNUMBER(Q24)),N24-Q24,"")</x:f>
        <x:v>16</x:v>
      </x:c>
      <x:c r="S24" s="56" t="n">
        <x:v>282</x:v>
      </x:c>
      <x:c r="T24" s="56"/>
      <x:c r="U24" s="56" t="str">
        <x:v>Major plateau range 76 °C; terminal flow near 90 °C</x:v>
      </x:c>
      <x:c r="V24" s="56"/>
      <x:c r="W24" s="56"/>
      <x:c r="X24" s="56" t="str">
        <x:v>reported in source text/table</x:v>
      </x:c>
      <x:c r="Y24" s="56" t="str">
        <x:v>Nucleobase-functionalized acrylic ABA triblock copolymers and supramolecular blends</x:v>
      </x:c>
      <x:c r="Z24" s="56" t="str">
        <x:v>10.1039/C4PY01798F</x:v>
      </x:c>
      <x:c r="AA24" s="56" t="str">
        <x:v>https://doi.org/10.1039/C4PY01798F</x:v>
      </x:c>
      <x:c r="AB24" s="56" t="str">
        <x:v>DP of each AdA external block = 83; total Mn 72.4 kDa.</x:v>
      </x:c>
    </x:row>
    <x:row r="25" ht="34" customHeight="1">
      <x:c r="A25" s="56" t="str">
        <x:v>ABA2015-PABA-DMA-hard</x:v>
      </x:c>
      <x:c r="B25" s="56" t="str">
        <x:v>S3</x:v>
      </x:c>
      <x:c r="C25" s="56" t="str">
        <x:v>A</x:v>
      </x:c>
      <x:c r="D25" s="56" t="str">
        <x:v>PABA</x:v>
      </x:c>
      <x:c r="E25" s="56" t="str">
        <x:v>ABA triblock</x:v>
      </x:c>
      <x:c r="F25" s="56" t="str">
        <x:v>poly(AdA-b-nBA-b-AdA)</x:v>
      </x:c>
      <x:c r="G25" s="56" t="str">
        <x:v>nucleobase acrylic external blocks</x:v>
      </x:c>
      <x:c r="H25" s="56"/>
      <x:c r="I25" s="56"/>
      <x:c r="J25" s="56" t="n">
        <x:v>38</x:v>
      </x:c>
      <x:c r="K25" s="56" t="str">
        <x:v>27.6-44.8-27.6</x:v>
      </x:c>
      <x:c r="L25" s="56"/>
      <x:c r="M25" s="56" t="str">
        <x:v>DMA tan delta</x:v>
      </x:c>
      <x:c r="N25" s="56" t="n">
        <x:v>52</x:v>
      </x:c>
      <x:c r="O25" s="56" t="str">
        <x:v>hard-block Tg from tan delta</x:v>
      </x:c>
      <x:c r="P25" s="56"/>
      <x:c r="Q25" s="56"/>
      <x:c r="R25" s="56" t="str">
        <x:f>IF(AND(ISNUMBER(N25),ISNUMBER(Q25)),N25-Q25,"")</x:f>
      </x:c>
      <x:c r="S25" s="56" t="n">
        <x:v>282</x:v>
      </x:c>
      <x:c r="T25" s="56"/>
      <x:c r="U25" s="56" t="str">
        <x:v>Major plateau range 76 °C; terminal flow near 90 °C</x:v>
      </x:c>
      <x:c r="V25" s="56"/>
      <x:c r="W25" s="56"/>
      <x:c r="X25" s="56" t="str">
        <x:v>reported in source text/table</x:v>
      </x:c>
      <x:c r="Y25" s="56" t="str">
        <x:v>Nucleobase-functionalized acrylic ABA triblock copolymers and supramolecular blends</x:v>
      </x:c>
      <x:c r="Z25" s="56" t="str">
        <x:v>10.1039/C4PY01798F</x:v>
      </x:c>
      <x:c r="AA25" s="56" t="str">
        <x:v>https://doi.org/10.1039/C4PY01798F</x:v>
      </x:c>
      <x:c r="AB25" s="56" t="str">
        <x:v>DP of each AdA external block = 83; total Mn 72.4 kDa.</x:v>
      </x:c>
    </x:row>
    <x:row r="26" ht="34" customHeight="1">
      <x:c r="A26" s="56" t="str">
        <x:v>ABA2015-PTBT-DSC-soft</x:v>
      </x:c>
      <x:c r="B26" s="56" t="str">
        <x:v>S3</x:v>
      </x:c>
      <x:c r="C26" s="56" t="str">
        <x:v>T</x:v>
      </x:c>
      <x:c r="D26" s="56" t="str">
        <x:v>PTBT</x:v>
      </x:c>
      <x:c r="E26" s="56" t="str">
        <x:v>ABA triblock</x:v>
      </x:c>
      <x:c r="F26" s="56" t="str">
        <x:v>poly(ThA-b-nBA-b-ThA)</x:v>
      </x:c>
      <x:c r="G26" s="56" t="str">
        <x:v>nucleobase acrylic external blocks</x:v>
      </x:c>
      <x:c r="H26" s="56"/>
      <x:c r="I26" s="56"/>
      <x:c r="J26" s="56" t="n">
        <x:v>40</x:v>
      </x:c>
      <x:c r="K26" s="56" t="str">
        <x:v>30.1-44.8-30.1</x:v>
      </x:c>
      <x:c r="L26" s="56"/>
      <x:c r="M26" s="56" t="str">
        <x:v>DSC</x:v>
      </x:c>
      <x:c r="N26" s="56" t="n">
        <x:v>-40</x:v>
      </x:c>
      <x:c r="O26" s="56" t="str">
        <x:v>soft PnBA block Tg</x:v>
      </x:c>
      <x:c r="P26" s="56"/>
      <x:c r="Q26" s="56" t="n">
        <x:v>-47</x:v>
      </x:c>
      <x:c r="R26" s="56" t="n">
        <x:f>IF(AND(ISNUMBER(N26),ISNUMBER(Q26)),N26-Q26,"")</x:f>
        <x:v>7</x:v>
      </x:c>
      <x:c r="S26" s="56" t="n">
        <x:v>285</x:v>
      </x:c>
      <x:c r="T26" s="56"/>
      <x:c r="U26" s="56" t="str">
        <x:v>Major plateau range 71 °C; terminal flow near 90 °C</x:v>
      </x:c>
      <x:c r="V26" s="56"/>
      <x:c r="W26" s="56"/>
      <x:c r="X26" s="56" t="str">
        <x:v>reported in source text/table</x:v>
      </x:c>
      <x:c r="Y26" s="56" t="str">
        <x:v>Nucleobase-functionalized acrylic ABA triblock copolymers and supramolecular blends</x:v>
      </x:c>
      <x:c r="Z26" s="56" t="str">
        <x:v>10.1039/C4PY01798F</x:v>
      </x:c>
      <x:c r="AA26" s="56" t="str">
        <x:v>https://doi.org/10.1039/C4PY01798F</x:v>
      </x:c>
      <x:c r="AB26" s="56" t="str">
        <x:v>DP of each ThA external block = 93; total Mn 74.9 kDa.</x:v>
      </x:c>
    </x:row>
    <x:row r="27" ht="34" customHeight="1">
      <x:c r="A27" s="56" t="str">
        <x:v>ABA2015-PTBT-DSC-hard</x:v>
      </x:c>
      <x:c r="B27" s="56" t="str">
        <x:v>S3</x:v>
      </x:c>
      <x:c r="C27" s="56" t="str">
        <x:v>T</x:v>
      </x:c>
      <x:c r="D27" s="56" t="str">
        <x:v>PTBT</x:v>
      </x:c>
      <x:c r="E27" s="56" t="str">
        <x:v>ABA triblock</x:v>
      </x:c>
      <x:c r="F27" s="56" t="str">
        <x:v>poly(ThA-b-nBA-b-ThA)</x:v>
      </x:c>
      <x:c r="G27" s="56" t="str">
        <x:v>nucleobase acrylic external blocks</x:v>
      </x:c>
      <x:c r="H27" s="56"/>
      <x:c r="I27" s="56"/>
      <x:c r="J27" s="56" t="n">
        <x:v>40</x:v>
      </x:c>
      <x:c r="K27" s="56" t="str">
        <x:v>30.1-44.8-30.1</x:v>
      </x:c>
      <x:c r="L27" s="56"/>
      <x:c r="M27" s="56" t="str">
        <x:v>DSC</x:v>
      </x:c>
      <x:c r="N27" s="56" t="n">
        <x:v>52</x:v>
      </x:c>
      <x:c r="O27" s="56" t="str">
        <x:v>nucleobase hard-block Tg</x:v>
      </x:c>
      <x:c r="P27" s="56"/>
      <x:c r="Q27" s="56"/>
      <x:c r="R27" s="56" t="str">
        <x:f>IF(AND(ISNUMBER(N27),ISNUMBER(Q27)),N27-Q27,"")</x:f>
      </x:c>
      <x:c r="S27" s="56" t="n">
        <x:v>285</x:v>
      </x:c>
      <x:c r="T27" s="56"/>
      <x:c r="U27" s="56" t="str">
        <x:v>Major plateau range 71 °C; terminal flow near 90 °C</x:v>
      </x:c>
      <x:c r="V27" s="56"/>
      <x:c r="W27" s="56"/>
      <x:c r="X27" s="56" t="str">
        <x:v>reported in source text/table</x:v>
      </x:c>
      <x:c r="Y27" s="56" t="str">
        <x:v>Nucleobase-functionalized acrylic ABA triblock copolymers and supramolecular blends</x:v>
      </x:c>
      <x:c r="Z27" s="56" t="str">
        <x:v>10.1039/C4PY01798F</x:v>
      </x:c>
      <x:c r="AA27" s="56" t="str">
        <x:v>https://doi.org/10.1039/C4PY01798F</x:v>
      </x:c>
      <x:c r="AB27" s="56" t="str">
        <x:v>DP of each ThA external block = 93; total Mn 74.9 kDa.</x:v>
      </x:c>
    </x:row>
    <x:row r="28" ht="34" customHeight="1">
      <x:c r="A28" s="56" t="str">
        <x:v>ABA2015-PTBT-DMA-soft</x:v>
      </x:c>
      <x:c r="B28" s="56" t="str">
        <x:v>S3</x:v>
      </x:c>
      <x:c r="C28" s="56" t="str">
        <x:v>T</x:v>
      </x:c>
      <x:c r="D28" s="56" t="str">
        <x:v>PTBT</x:v>
      </x:c>
      <x:c r="E28" s="56" t="str">
        <x:v>ABA triblock</x:v>
      </x:c>
      <x:c r="F28" s="56" t="str">
        <x:v>poly(ThA-b-nBA-b-ThA)</x:v>
      </x:c>
      <x:c r="G28" s="56" t="str">
        <x:v>nucleobase acrylic external blocks</x:v>
      </x:c>
      <x:c r="H28" s="56"/>
      <x:c r="I28" s="56"/>
      <x:c r="J28" s="56" t="n">
        <x:v>40</x:v>
      </x:c>
      <x:c r="K28" s="56" t="str">
        <x:v>30.1-44.8-30.1</x:v>
      </x:c>
      <x:c r="L28" s="56"/>
      <x:c r="M28" s="56" t="str">
        <x:v>DMA tan delta</x:v>
      </x:c>
      <x:c r="N28" s="56" t="n">
        <x:v>-29</x:v>
      </x:c>
      <x:c r="O28" s="56" t="str">
        <x:v>soft-phase Tg from tan delta</x:v>
      </x:c>
      <x:c r="P28" s="56"/>
      <x:c r="Q28" s="56" t="n">
        <x:v>-47</x:v>
      </x:c>
      <x:c r="R28" s="56" t="n">
        <x:f>IF(AND(ISNUMBER(N28),ISNUMBER(Q28)),N28-Q28,"")</x:f>
        <x:v>18</x:v>
      </x:c>
      <x:c r="S28" s="56" t="n">
        <x:v>285</x:v>
      </x:c>
      <x:c r="T28" s="56"/>
      <x:c r="U28" s="56" t="str">
        <x:v>Major plateau range 71 °C; terminal flow near 90 °C</x:v>
      </x:c>
      <x:c r="V28" s="56"/>
      <x:c r="W28" s="56"/>
      <x:c r="X28" s="56" t="str">
        <x:v>reported in source text/table</x:v>
      </x:c>
      <x:c r="Y28" s="56" t="str">
        <x:v>Nucleobase-functionalized acrylic ABA triblock copolymers and supramolecular blends</x:v>
      </x:c>
      <x:c r="Z28" s="56" t="str">
        <x:v>10.1039/C4PY01798F</x:v>
      </x:c>
      <x:c r="AA28" s="56" t="str">
        <x:v>https://doi.org/10.1039/C4PY01798F</x:v>
      </x:c>
      <x:c r="AB28" s="56" t="str">
        <x:v>DP of each ThA external block = 93; total Mn 74.9 kDa.</x:v>
      </x:c>
    </x:row>
    <x:row r="29" ht="34" customHeight="1">
      <x:c r="A29" s="56" t="str">
        <x:v>ABA2015-PTBT-DMA-hard</x:v>
      </x:c>
      <x:c r="B29" s="56" t="str">
        <x:v>S3</x:v>
      </x:c>
      <x:c r="C29" s="56" t="str">
        <x:v>T</x:v>
      </x:c>
      <x:c r="D29" s="56" t="str">
        <x:v>PTBT</x:v>
      </x:c>
      <x:c r="E29" s="56" t="str">
        <x:v>ABA triblock</x:v>
      </x:c>
      <x:c r="F29" s="56" t="str">
        <x:v>poly(ThA-b-nBA-b-ThA)</x:v>
      </x:c>
      <x:c r="G29" s="56" t="str">
        <x:v>nucleobase acrylic external blocks</x:v>
      </x:c>
      <x:c r="H29" s="56"/>
      <x:c r="I29" s="56"/>
      <x:c r="J29" s="56" t="n">
        <x:v>40</x:v>
      </x:c>
      <x:c r="K29" s="56" t="str">
        <x:v>30.1-44.8-30.1</x:v>
      </x:c>
      <x:c r="L29" s="56"/>
      <x:c r="M29" s="56" t="str">
        <x:v>DMA tan delta</x:v>
      </x:c>
      <x:c r="N29" s="56" t="n">
        <x:v>49</x:v>
      </x:c>
      <x:c r="O29" s="56" t="str">
        <x:v>hard-block Tg from tan delta</x:v>
      </x:c>
      <x:c r="P29" s="56"/>
      <x:c r="Q29" s="56"/>
      <x:c r="R29" s="56" t="str">
        <x:f>IF(AND(ISNUMBER(N29),ISNUMBER(Q29)),N29-Q29,"")</x:f>
      </x:c>
      <x:c r="S29" s="56" t="n">
        <x:v>285</x:v>
      </x:c>
      <x:c r="T29" s="56"/>
      <x:c r="U29" s="56" t="str">
        <x:v>Major plateau range 71 °C; terminal flow near 90 °C</x:v>
      </x:c>
      <x:c r="V29" s="56"/>
      <x:c r="W29" s="56"/>
      <x:c r="X29" s="56" t="str">
        <x:v>reported in source text/table</x:v>
      </x:c>
      <x:c r="Y29" s="56" t="str">
        <x:v>Nucleobase-functionalized acrylic ABA triblock copolymers and supramolecular blends</x:v>
      </x:c>
      <x:c r="Z29" s="56" t="str">
        <x:v>10.1039/C4PY01798F</x:v>
      </x:c>
      <x:c r="AA29" s="56" t="str">
        <x:v>https://doi.org/10.1039/C4PY01798F</x:v>
      </x:c>
      <x:c r="AB29" s="56" t="str">
        <x:v>DP of each ThA external block = 93; total Mn 74.9 kDa.</x:v>
      </x:c>
    </x:row>
    <x:row r="30" ht="34" customHeight="1">
      <x:c r="A30" s="56" t="str">
        <x:v>ABA2015-ATblend-DSC-soft</x:v>
      </x:c>
      <x:c r="B30" s="56" t="str">
        <x:v>S3</x:v>
      </x:c>
      <x:c r="C30" s="56" t="str">
        <x:v>A+T</x:v>
      </x:c>
      <x:c r="D30" s="56" t="str">
        <x:v>A:T 1:1 blend</x:v>
      </x:c>
      <x:c r="E30" s="56" t="str">
        <x:v>supramolecular blend</x:v>
      </x:c>
      <x:c r="F30" s="56" t="str">
        <x:v>blend of PABA and PTBT</x:v>
      </x:c>
      <x:c r="G30" s="56" t="str">
        <x:v>AdA and ThA hard blocks</x:v>
      </x:c>
      <x:c r="H30" s="56"/>
      <x:c r="I30" s="56"/>
      <x:c r="J30" s="56"/>
      <x:c r="K30" s="56"/>
      <x:c r="L30" s="56"/>
      <x:c r="M30" s="56" t="str">
        <x:v>DSC</x:v>
      </x:c>
      <x:c r="N30" s="56" t="n">
        <x:v>-47</x:v>
      </x:c>
      <x:c r="O30" s="56" t="str">
        <x:v>soft PnBA phase Tg</x:v>
      </x:c>
      <x:c r="P30" s="56"/>
      <x:c r="Q30" s="56" t="n">
        <x:v>-47</x:v>
      </x:c>
      <x:c r="R30" s="56" t="n">
        <x:f>IF(AND(ISNUMBER(N30),ISNUMBER(Q30)),N30-Q30,"")</x:f>
        <x:v>0</x:v>
      </x:c>
      <x:c r="S30" s="56"/>
      <x:c r="T30" s="56"/>
      <x:c r="U30" s="56" t="str">
        <x:v>Major plateau range 109 °C; terminal flow near 90 °C</x:v>
      </x:c>
      <x:c r="V30" s="56"/>
      <x:c r="W30" s="56"/>
      <x:c r="X30" s="56" t="str">
        <x:v>reported in source table</x:v>
      </x:c>
      <x:c r="Y30" s="56" t="str">
        <x:v>Nucleobase-functionalized acrylic ABA triblock copolymers and supramolecular blends</x:v>
      </x:c>
      <x:c r="Z30" s="56" t="str">
        <x:v>10.1039/C4PY01798F</x:v>
      </x:c>
      <x:c r="AA30" s="56" t="str">
        <x:v>https://doi.org/10.1039/C4PY01798F</x:v>
      </x:c>
      <x:c r="AB30" s="56" t="str">
        <x:v>Blend did not show separate external-block Tg in DMA; complementary A:T association broadened plateau window.</x:v>
      </x:c>
    </x:row>
    <x:row r="31" ht="34" customHeight="1">
      <x:c r="A31" s="56" t="str">
        <x:v>ABA2015-ATblend-DSC-hard</x:v>
      </x:c>
      <x:c r="B31" s="56" t="str">
        <x:v>S3</x:v>
      </x:c>
      <x:c r="C31" s="56" t="str">
        <x:v>A+T</x:v>
      </x:c>
      <x:c r="D31" s="56" t="str">
        <x:v>A:T 1:1 blend</x:v>
      </x:c>
      <x:c r="E31" s="56" t="str">
        <x:v>supramolecular blend</x:v>
      </x:c>
      <x:c r="F31" s="56" t="str">
        <x:v>blend of PABA and PTBT</x:v>
      </x:c>
      <x:c r="G31" s="56" t="str">
        <x:v>AdA and ThA hard blocks</x:v>
      </x:c>
      <x:c r="H31" s="56"/>
      <x:c r="I31" s="56"/>
      <x:c r="J31" s="56"/>
      <x:c r="K31" s="56"/>
      <x:c r="L31" s="56"/>
      <x:c r="M31" s="56" t="str">
        <x:v>DSC</x:v>
      </x:c>
      <x:c r="N31" s="56" t="n">
        <x:v>74</x:v>
      </x:c>
      <x:c r="O31" s="56" t="str">
        <x:v>single A:T hard phase Tg</x:v>
      </x:c>
      <x:c r="P31" s="56"/>
      <x:c r="Q31" s="56"/>
      <x:c r="R31" s="56" t="str">
        <x:f>IF(AND(ISNUMBER(N31),ISNUMBER(Q31)),N31-Q31,"")</x:f>
      </x:c>
      <x:c r="S31" s="56"/>
      <x:c r="T31" s="56"/>
      <x:c r="U31" s="56" t="str">
        <x:v>Major plateau range 109 °C; terminal flow near 90 °C</x:v>
      </x:c>
      <x:c r="V31" s="56"/>
      <x:c r="W31" s="56"/>
      <x:c r="X31" s="56" t="str">
        <x:v>reported in source table</x:v>
      </x:c>
      <x:c r="Y31" s="56" t="str">
        <x:v>Nucleobase-functionalized acrylic ABA triblock copolymers and supramolecular blends</x:v>
      </x:c>
      <x:c r="Z31" s="56" t="str">
        <x:v>10.1039/C4PY01798F</x:v>
      </x:c>
      <x:c r="AA31" s="56" t="str">
        <x:v>https://doi.org/10.1039/C4PY01798F</x:v>
      </x:c>
      <x:c r="AB31" s="56" t="str">
        <x:v>Blend did not show separate external-block Tg in DMA; complementary A:T association broadened plateau window.</x:v>
      </x:c>
    </x:row>
    <x:row r="32" ht="34" customHeight="1">
      <x:c r="A32" s="56" t="str">
        <x:v>ABA2015-ATblend-DMA-soft</x:v>
      </x:c>
      <x:c r="B32" s="56" t="str">
        <x:v>S3</x:v>
      </x:c>
      <x:c r="C32" s="56" t="str">
        <x:v>A+T</x:v>
      </x:c>
      <x:c r="D32" s="56" t="str">
        <x:v>A:T 1:1 blend</x:v>
      </x:c>
      <x:c r="E32" s="56" t="str">
        <x:v>supramolecular blend</x:v>
      </x:c>
      <x:c r="F32" s="56" t="str">
        <x:v>blend of PABA and PTBT</x:v>
      </x:c>
      <x:c r="G32" s="56" t="str">
        <x:v>AdA and ThA hard blocks</x:v>
      </x:c>
      <x:c r="H32" s="56"/>
      <x:c r="I32" s="56"/>
      <x:c r="J32" s="56"/>
      <x:c r="K32" s="56"/>
      <x:c r="L32" s="56"/>
      <x:c r="M32" s="56" t="str">
        <x:v>DMA tan delta</x:v>
      </x:c>
      <x:c r="N32" s="56" t="n">
        <x:v>-30</x:v>
      </x:c>
      <x:c r="O32" s="56" t="str">
        <x:v>soft-phase Tg from tan delta</x:v>
      </x:c>
      <x:c r="P32" s="56"/>
      <x:c r="Q32" s="56" t="n">
        <x:v>-47</x:v>
      </x:c>
      <x:c r="R32" s="56" t="n">
        <x:f>IF(AND(ISNUMBER(N32),ISNUMBER(Q32)),N32-Q32,"")</x:f>
        <x:v>17</x:v>
      </x:c>
      <x:c r="S32" s="56"/>
      <x:c r="T32" s="56"/>
      <x:c r="U32" s="56" t="str">
        <x:v>Major plateau range 109 °C; terminal flow near 90 °C</x:v>
      </x:c>
      <x:c r="V32" s="56"/>
      <x:c r="W32" s="56"/>
      <x:c r="X32" s="56" t="str">
        <x:v>reported in source table</x:v>
      </x:c>
      <x:c r="Y32" s="56" t="str">
        <x:v>Nucleobase-functionalized acrylic ABA triblock copolymers and supramolecular blends</x:v>
      </x:c>
      <x:c r="Z32" s="56" t="str">
        <x:v>10.1039/C4PY01798F</x:v>
      </x:c>
      <x:c r="AA32" s="56" t="str">
        <x:v>https://doi.org/10.1039/C4PY01798F</x:v>
      </x:c>
      <x:c r="AB32" s="56" t="str">
        <x:v>Blend did not show separate external-block Tg in DMA; complementary A:T association broadened plateau window.</x:v>
      </x:c>
    </x:row>
    <x:row r="33" ht="34" customHeight="1">
      <x:c r="A33" s="56" t="str">
        <x:v>C2016-PnBA</x:v>
      </x:c>
      <x:c r="B33" s="56" t="str">
        <x:v>S4</x:v>
      </x:c>
      <x:c r="C33" s="56" t="str">
        <x:v>none</x:v>
      </x:c>
      <x:c r="D33" s="56" t="str">
        <x:v>poly(nBA)</x:v>
      </x:c>
      <x:c r="E33" s="56" t="str">
        <x:v>homopolymer baseline</x:v>
      </x:c>
      <x:c r="F33" s="56" t="str">
        <x:v>poly(n-butyl acrylate)</x:v>
      </x:c>
      <x:c r="G33" s="56" t="str">
        <x:v>nBA</x:v>
      </x:c>
      <x:c r="H33" s="56"/>
      <x:c r="I33" s="56" t="n">
        <x:v>0</x:v>
      </x:c>
      <x:c r="J33" s="56" t="n">
        <x:v>0</x:v>
      </x:c>
      <x:c r="K33" s="56"/>
      <x:c r="L33" s="56"/>
      <x:c r="M33" s="56" t="str">
        <x:v>DSC</x:v>
      </x:c>
      <x:c r="N33" s="56" t="n">
        <x:v>-47</x:v>
      </x:c>
      <x:c r="O33" s="56" t="str">
        <x:v>baseline Tg</x:v>
      </x:c>
      <x:c r="P33" s="56"/>
      <x:c r="Q33" s="56"/>
      <x:c r="R33" s="56" t="str">
        <x:f>IF(AND(ISNUMBER(N33),ISNUMBER(Q33)),N33-Q33,"")</x:f>
      </x:c>
      <x:c r="S33" s="56" t="n">
        <x:v>343</x:v>
      </x:c>
      <x:c r="T33" s="56"/>
      <x:c r="U33" s="56"/>
      <x:c r="V33" s="56"/>
      <x:c r="W33" s="56"/>
      <x:c r="X33" s="56" t="str">
        <x:v>reported in source table</x:v>
      </x:c>
      <x:c r="Y33" s="56" t="str">
        <x:v>Ureido cytosine and cytosine-containing acrylic copolymers</x:v>
      </x:c>
      <x:c r="Z33" s="56" t="str">
        <x:v>10.1039/C6PY01519K</x:v>
      </x:c>
      <x:c r="AA33" s="56" t="str">
        <x:v>https://doi.org/10.1039/C6PY01519K</x:v>
      </x:c>
      <x:c r="AB33" s="56" t="str">
        <x:v>Used as main low-Tg acrylic baseline.</x:v>
      </x:c>
    </x:row>
    <x:row r="34" ht="34" customHeight="1">
      <x:c r="A34" s="56" t="str">
        <x:v>C2016-CyA-3.0</x:v>
      </x:c>
      <x:c r="B34" s="56" t="str">
        <x:v>S4</x:v>
      </x:c>
      <x:c r="C34" s="56" t="str">
        <x:v>C</x:v>
      </x:c>
      <x:c r="D34" s="56" t="str">
        <x:v>CyA-3.0</x:v>
      </x:c>
      <x:c r="E34" s="56" t="str">
        <x:v>random copolymer</x:v>
      </x:c>
      <x:c r="F34" s="56" t="str">
        <x:v>poly(CyA-co-nBA)</x:v>
      </x:c>
      <x:c r="G34" s="56" t="str">
        <x:v>CyA</x:v>
      </x:c>
      <x:c r="H34" s="56"/>
      <x:c r="I34" s="56" t="n">
        <x:v>3</x:v>
      </x:c>
      <x:c r="J34" s="56" t="n">
        <x:v>6.7</x:v>
      </x:c>
      <x:c r="K34" s="56"/>
      <x:c r="L34" s="56"/>
      <x:c r="M34" s="56" t="str">
        <x:v>DSC</x:v>
      </x:c>
      <x:c r="N34" s="56" t="n">
        <x:v>-42</x:v>
      </x:c>
      <x:c r="O34" s="56" t="str">
        <x:v>single copolymer Tg</x:v>
      </x:c>
      <x:c r="P34" s="56" t="n">
        <x:v>-41</x:v>
      </x:c>
      <x:c r="Q34" s="56" t="n">
        <x:v>-47</x:v>
      </x:c>
      <x:c r="R34" s="56" t="n">
        <x:f>IF(AND(ISNUMBER(N34),ISNUMBER(Q34)),N34-Q34,"")</x:f>
        <x:v>5</x:v>
      </x:c>
      <x:c r="S34" s="56" t="n">
        <x:v>331</x:v>
      </x:c>
      <x:c r="T34" s="56"/>
      <x:c r="U34" s="56"/>
      <x:c r="V34" s="56" t="n">
        <x:v>3</x:v>
      </x:c>
      <x:c r="W34" s="56" t="n">
        <x:v>4</x:v>
      </x:c>
      <x:c r="X34" s="56" t="str">
        <x:v>reported in source table</x:v>
      </x:c>
      <x:c r="Y34" s="56" t="str">
        <x:v>Ureido cytosine and cytosine-containing acrylic copolymers</x:v>
      </x:c>
      <x:c r="Z34" s="56" t="str">
        <x:v>10.1039/C6PY01519K</x:v>
      </x:c>
      <x:c r="AA34" s="56" t="str">
        <x:v>https://doi.org/10.1039/C6PY01519K</x:v>
      </x:c>
      <x:c r="AB34" s="56" t="str">
        <x:v>UCyA rows are ureido-cytosine derivative, not unmodified cytosine.</x:v>
      </x:c>
    </x:row>
    <x:row r="35" ht="34" customHeight="1">
      <x:c r="A35" s="56" t="str">
        <x:v>C2016-UCyA-3.0</x:v>
      </x:c>
      <x:c r="B35" s="56" t="str">
        <x:v>S4</x:v>
      </x:c>
      <x:c r="C35" s="56" t="str">
        <x:v>C derivative (UCy)</x:v>
      </x:c>
      <x:c r="D35" s="56" t="str">
        <x:v>UCyA-3.0</x:v>
      </x:c>
      <x:c r="E35" s="56" t="str">
        <x:v>random copolymer</x:v>
      </x:c>
      <x:c r="F35" s="56" t="str">
        <x:v>poly(UCyA-co-nBA)</x:v>
      </x:c>
      <x:c r="G35" s="56" t="str">
        <x:v>UCyA</x:v>
      </x:c>
      <x:c r="H35" s="56"/>
      <x:c r="I35" s="56" t="n">
        <x:v>3</x:v>
      </x:c>
      <x:c r="J35" s="56" t="n">
        <x:v>9.9</x:v>
      </x:c>
      <x:c r="K35" s="56"/>
      <x:c r="L35" s="56"/>
      <x:c r="M35" s="56" t="str">
        <x:v>DSC</x:v>
      </x:c>
      <x:c r="N35" s="56" t="n">
        <x:v>-38</x:v>
      </x:c>
      <x:c r="O35" s="56" t="str">
        <x:v>single copolymer Tg</x:v>
      </x:c>
      <x:c r="P35" s="56"/>
      <x:c r="Q35" s="56" t="n">
        <x:v>-47</x:v>
      </x:c>
      <x:c r="R35" s="56" t="n">
        <x:f>IF(AND(ISNUMBER(N35),ISNUMBER(Q35)),N35-Q35,"")</x:f>
        <x:v>9</x:v>
      </x:c>
      <x:c r="S35" s="56" t="n">
        <x:v>315</x:v>
      </x:c>
      <x:c r="T35" s="56"/>
      <x:c r="U35" s="56"/>
      <x:c r="V35" s="56" t="n">
        <x:v>6</x:v>
      </x:c>
      <x:c r="W35" s="56" t="n">
        <x:v>6</x:v>
      </x:c>
      <x:c r="X35" s="56" t="str">
        <x:v>reported in source table</x:v>
      </x:c>
      <x:c r="Y35" s="56" t="str">
        <x:v>Ureido cytosine and cytosine-containing acrylic copolymers</x:v>
      </x:c>
      <x:c r="Z35" s="56" t="str">
        <x:v>10.1039/C6PY01519K</x:v>
      </x:c>
      <x:c r="AA35" s="56" t="str">
        <x:v>https://doi.org/10.1039/C6PY01519K</x:v>
      </x:c>
      <x:c r="AB35" s="56" t="str">
        <x:v>UCyA rows are ureido-cytosine derivative, not unmodified cytosine.</x:v>
      </x:c>
    </x:row>
    <x:row r="36" ht="34" customHeight="1">
      <x:c r="A36" s="56" t="str">
        <x:v>C2016-CyA-4.5</x:v>
      </x:c>
      <x:c r="B36" s="56" t="str">
        <x:v>S4</x:v>
      </x:c>
      <x:c r="C36" s="56" t="str">
        <x:v>C</x:v>
      </x:c>
      <x:c r="D36" s="56" t="str">
        <x:v>CyA-4.5</x:v>
      </x:c>
      <x:c r="E36" s="56" t="str">
        <x:v>random copolymer</x:v>
      </x:c>
      <x:c r="F36" s="56" t="str">
        <x:v>poly(CyA-co-nBA)</x:v>
      </x:c>
      <x:c r="G36" s="56" t="str">
        <x:v>CyA</x:v>
      </x:c>
      <x:c r="H36" s="56"/>
      <x:c r="I36" s="56" t="n">
        <x:v>4.5</x:v>
      </x:c>
      <x:c r="J36" s="56" t="n">
        <x:v>10.2</x:v>
      </x:c>
      <x:c r="K36" s="56"/>
      <x:c r="L36" s="56"/>
      <x:c r="M36" s="56" t="str">
        <x:v>DSC</x:v>
      </x:c>
      <x:c r="N36" s="56" t="n">
        <x:v>-38</x:v>
      </x:c>
      <x:c r="O36" s="56" t="str">
        <x:v>single copolymer Tg</x:v>
      </x:c>
      <x:c r="P36" s="56" t="n">
        <x:v>-38</x:v>
      </x:c>
      <x:c r="Q36" s="56" t="n">
        <x:v>-47</x:v>
      </x:c>
      <x:c r="R36" s="56" t="n">
        <x:f>IF(AND(ISNUMBER(N36),ISNUMBER(Q36)),N36-Q36,"")</x:f>
        <x:v>9</x:v>
      </x:c>
      <x:c r="S36" s="56" t="n">
        <x:v>317</x:v>
      </x:c>
      <x:c r="T36" s="56"/>
      <x:c r="U36" s="56"/>
      <x:c r="V36" s="56" t="n">
        <x:v>4</x:v>
      </x:c>
      <x:c r="W36" s="56" t="n">
        <x:v>5</x:v>
      </x:c>
      <x:c r="X36" s="56" t="str">
        <x:v>reported in source table</x:v>
      </x:c>
      <x:c r="Y36" s="56" t="str">
        <x:v>Ureido cytosine and cytosine-containing acrylic copolymers</x:v>
      </x:c>
      <x:c r="Z36" s="56" t="str">
        <x:v>10.1039/C6PY01519K</x:v>
      </x:c>
      <x:c r="AA36" s="56" t="str">
        <x:v>https://doi.org/10.1039/C6PY01519K</x:v>
      </x:c>
      <x:c r="AB36" s="56" t="str">
        <x:v>UCyA rows are ureido-cytosine derivative, not unmodified cytosine.</x:v>
      </x:c>
    </x:row>
    <x:row r="37" ht="34" customHeight="1">
      <x:c r="A37" s="56" t="str">
        <x:v>C2016-UCyA-4.5</x:v>
      </x:c>
      <x:c r="B37" s="56" t="str">
        <x:v>S4</x:v>
      </x:c>
      <x:c r="C37" s="56" t="str">
        <x:v>C derivative (UCy)</x:v>
      </x:c>
      <x:c r="D37" s="56" t="str">
        <x:v>UCyA-4.5</x:v>
      </x:c>
      <x:c r="E37" s="56" t="str">
        <x:v>random copolymer</x:v>
      </x:c>
      <x:c r="F37" s="56" t="str">
        <x:v>poly(UCyA-co-nBA)</x:v>
      </x:c>
      <x:c r="G37" s="56" t="str">
        <x:v>UCyA</x:v>
      </x:c>
      <x:c r="H37" s="56"/>
      <x:c r="I37" s="56" t="n">
        <x:v>4.5</x:v>
      </x:c>
      <x:c r="J37" s="56" t="n">
        <x:v>14.4</x:v>
      </x:c>
      <x:c r="K37" s="56"/>
      <x:c r="L37" s="56"/>
      <x:c r="M37" s="56" t="str">
        <x:v>DSC</x:v>
      </x:c>
      <x:c r="N37" s="56" t="n">
        <x:v>-36</x:v>
      </x:c>
      <x:c r="O37" s="56" t="str">
        <x:v>single copolymer Tg</x:v>
      </x:c>
      <x:c r="P37" s="56"/>
      <x:c r="Q37" s="56" t="n">
        <x:v>-47</x:v>
      </x:c>
      <x:c r="R37" s="56" t="n">
        <x:f>IF(AND(ISNUMBER(N37),ISNUMBER(Q37)),N37-Q37,"")</x:f>
        <x:v>11</x:v>
      </x:c>
      <x:c r="S37" s="56" t="n">
        <x:v>261</x:v>
      </x:c>
      <x:c r="T37" s="56"/>
      <x:c r="U37" s="56"/>
      <x:c r="V37" s="56" t="n">
        <x:v>9</x:v>
      </x:c>
      <x:c r="W37" s="56" t="n">
        <x:v>10</x:v>
      </x:c>
      <x:c r="X37" s="56" t="str">
        <x:v>reported in source table</x:v>
      </x:c>
      <x:c r="Y37" s="56" t="str">
        <x:v>Ureido cytosine and cytosine-containing acrylic copolymers</x:v>
      </x:c>
      <x:c r="Z37" s="56" t="str">
        <x:v>10.1039/C6PY01519K</x:v>
      </x:c>
      <x:c r="AA37" s="56" t="str">
        <x:v>https://doi.org/10.1039/C6PY01519K</x:v>
      </x:c>
      <x:c r="AB37" s="56" t="str">
        <x:v>UCyA rows are ureido-cytosine derivative, not unmodified cytosine.</x:v>
      </x:c>
    </x:row>
    <x:row r="38" ht="34" customHeight="1">
      <x:c r="A38" s="56" t="str">
        <x:v>C2016-CyA-8.8</x:v>
      </x:c>
      <x:c r="B38" s="56" t="str">
        <x:v>S4</x:v>
      </x:c>
      <x:c r="C38" s="56" t="str">
        <x:v>C</x:v>
      </x:c>
      <x:c r="D38" s="56" t="str">
        <x:v>CyA-8.8</x:v>
      </x:c>
      <x:c r="E38" s="56" t="str">
        <x:v>random copolymer</x:v>
      </x:c>
      <x:c r="F38" s="56" t="str">
        <x:v>poly(CyA-co-nBA)</x:v>
      </x:c>
      <x:c r="G38" s="56" t="str">
        <x:v>CyA</x:v>
      </x:c>
      <x:c r="H38" s="56"/>
      <x:c r="I38" s="56" t="n">
        <x:v>8.8</x:v>
      </x:c>
      <x:c r="J38" s="56" t="n">
        <x:v>19.3</x:v>
      </x:c>
      <x:c r="K38" s="56"/>
      <x:c r="L38" s="56"/>
      <x:c r="M38" s="56" t="str">
        <x:v>DSC</x:v>
      </x:c>
      <x:c r="N38" s="56" t="n">
        <x:v>-26</x:v>
      </x:c>
      <x:c r="O38" s="56" t="str">
        <x:v>single copolymer Tg</x:v>
      </x:c>
      <x:c r="P38" s="56" t="n">
        <x:v>-29</x:v>
      </x:c>
      <x:c r="Q38" s="56" t="n">
        <x:v>-47</x:v>
      </x:c>
      <x:c r="R38" s="56" t="n">
        <x:f>IF(AND(ISNUMBER(N38),ISNUMBER(Q38)),N38-Q38,"")</x:f>
        <x:v>21</x:v>
      </x:c>
      <x:c r="S38" s="56" t="n">
        <x:v>295</x:v>
      </x:c>
      <x:c r="T38" s="56"/>
      <x:c r="U38" s="56"/>
      <x:c r="V38" s="56" t="n">
        <x:v>8</x:v>
      </x:c>
      <x:c r="W38" s="56" t="n">
        <x:v>8</x:v>
      </x:c>
      <x:c r="X38" s="56" t="str">
        <x:v>reported in source table</x:v>
      </x:c>
      <x:c r="Y38" s="56" t="str">
        <x:v>Ureido cytosine and cytosine-containing acrylic copolymers</x:v>
      </x:c>
      <x:c r="Z38" s="56" t="str">
        <x:v>10.1039/C6PY01519K</x:v>
      </x:c>
      <x:c r="AA38" s="56" t="str">
        <x:v>https://doi.org/10.1039/C6PY01519K</x:v>
      </x:c>
      <x:c r="AB38" s="56" t="str">
        <x:v>UCyA rows are ureido-cytosine derivative, not unmodified cytosine.</x:v>
      </x:c>
    </x:row>
    <x:row r="39" ht="34" customHeight="1">
      <x:c r="A39" s="56" t="str">
        <x:v>C2016-UCyA-8.8</x:v>
      </x:c>
      <x:c r="B39" s="56" t="str">
        <x:v>S4</x:v>
      </x:c>
      <x:c r="C39" s="56" t="str">
        <x:v>C derivative (UCy)</x:v>
      </x:c>
      <x:c r="D39" s="56" t="str">
        <x:v>UCyA-8.8</x:v>
      </x:c>
      <x:c r="E39" s="56" t="str">
        <x:v>random copolymer</x:v>
      </x:c>
      <x:c r="F39" s="56" t="str">
        <x:v>poly(UCyA-co-nBA)</x:v>
      </x:c>
      <x:c r="G39" s="56" t="str">
        <x:v>UCyA</x:v>
      </x:c>
      <x:c r="H39" s="56"/>
      <x:c r="I39" s="56" t="n">
        <x:v>8.8</x:v>
      </x:c>
      <x:c r="J39" s="56" t="n">
        <x:v>25.6</x:v>
      </x:c>
      <x:c r="K39" s="56"/>
      <x:c r="L39" s="56"/>
      <x:c r="M39" s="56" t="str">
        <x:v>DSC</x:v>
      </x:c>
      <x:c r="N39" s="56" t="n">
        <x:v>-18</x:v>
      </x:c>
      <x:c r="O39" s="56" t="str">
        <x:v>single copolymer Tg</x:v>
      </x:c>
      <x:c r="P39" s="56"/>
      <x:c r="Q39" s="56" t="n">
        <x:v>-47</x:v>
      </x:c>
      <x:c r="R39" s="56" t="n">
        <x:f>IF(AND(ISNUMBER(N39),ISNUMBER(Q39)),N39-Q39,"")</x:f>
        <x:v>29</x:v>
      </x:c>
      <x:c r="S39" s="56" t="n">
        <x:v>244</x:v>
      </x:c>
      <x:c r="T39" s="56"/>
      <x:c r="U39" s="56"/>
      <x:c r="V39" s="56" t="n">
        <x:v>17</x:v>
      </x:c>
      <x:c r="W39" s="56" t="n">
        <x:v>16</x:v>
      </x:c>
      <x:c r="X39" s="56" t="str">
        <x:v>reported in source table</x:v>
      </x:c>
      <x:c r="Y39" s="56" t="str">
        <x:v>Ureido cytosine and cytosine-containing acrylic copolymers</x:v>
      </x:c>
      <x:c r="Z39" s="56" t="str">
        <x:v>10.1039/C6PY01519K</x:v>
      </x:c>
      <x:c r="AA39" s="56" t="str">
        <x:v>https://doi.org/10.1039/C6PY01519K</x:v>
      </x:c>
      <x:c r="AB39" s="56" t="str">
        <x:v>UCyA rows are ureido-cytosine derivative, not unmodified cytosine.</x:v>
      </x:c>
    </x:row>
    <x:row r="40" ht="34" customHeight="1">
      <x:c r="A40" s="56" t="str">
        <x:v>C2016-CyA-10.5</x:v>
      </x:c>
      <x:c r="B40" s="56" t="str">
        <x:v>S4</x:v>
      </x:c>
      <x:c r="C40" s="56" t="str">
        <x:v>C</x:v>
      </x:c>
      <x:c r="D40" s="56" t="str">
        <x:v>CyA-10.5</x:v>
      </x:c>
      <x:c r="E40" s="56" t="str">
        <x:v>random copolymer</x:v>
      </x:c>
      <x:c r="F40" s="56" t="str">
        <x:v>poly(CyA-co-nBA)</x:v>
      </x:c>
      <x:c r="G40" s="56" t="str">
        <x:v>CyA</x:v>
      </x:c>
      <x:c r="H40" s="56"/>
      <x:c r="I40" s="56" t="n">
        <x:v>10.5</x:v>
      </x:c>
      <x:c r="J40" s="56" t="n">
        <x:v>22.5</x:v>
      </x:c>
      <x:c r="K40" s="56"/>
      <x:c r="L40" s="56"/>
      <x:c r="M40" s="56" t="str">
        <x:v>DSC</x:v>
      </x:c>
      <x:c r="N40" s="56" t="n">
        <x:v>-28</x:v>
      </x:c>
      <x:c r="O40" s="56" t="str">
        <x:v>single copolymer Tg</x:v>
      </x:c>
      <x:c r="P40" s="56" t="n">
        <x:v>-26</x:v>
      </x:c>
      <x:c r="Q40" s="56" t="n">
        <x:v>-47</x:v>
      </x:c>
      <x:c r="R40" s="56" t="n">
        <x:f>IF(AND(ISNUMBER(N40),ISNUMBER(Q40)),N40-Q40,"")</x:f>
        <x:v>19</x:v>
      </x:c>
      <x:c r="S40" s="56" t="n">
        <x:v>291</x:v>
      </x:c>
      <x:c r="T40" s="56"/>
      <x:c r="U40" s="56"/>
      <x:c r="V40" s="56" t="n">
        <x:v>9</x:v>
      </x:c>
      <x:c r="W40" s="56" t="n">
        <x:v>10</x:v>
      </x:c>
      <x:c r="X40" s="56" t="str">
        <x:v>reported in source table</x:v>
      </x:c>
      <x:c r="Y40" s="56" t="str">
        <x:v>Ureido cytosine and cytosine-containing acrylic copolymers</x:v>
      </x:c>
      <x:c r="Z40" s="56" t="str">
        <x:v>10.1039/C6PY01519K</x:v>
      </x:c>
      <x:c r="AA40" s="56" t="str">
        <x:v>https://doi.org/10.1039/C6PY01519K</x:v>
      </x:c>
      <x:c r="AB40" s="56" t="str">
        <x:v>UCyA rows are ureido-cytosine derivative, not unmodified cytosine.</x:v>
      </x:c>
    </x:row>
    <x:row r="41" ht="34" customHeight="1">
      <x:c r="A41" s="56" t="str">
        <x:v>C2016-UCyA-10.5</x:v>
      </x:c>
      <x:c r="B41" s="56" t="str">
        <x:v>S4</x:v>
      </x:c>
      <x:c r="C41" s="56" t="str">
        <x:v>C derivative (UCy)</x:v>
      </x:c>
      <x:c r="D41" s="56" t="str">
        <x:v>UCyA-10.5</x:v>
      </x:c>
      <x:c r="E41" s="56" t="str">
        <x:v>random copolymer</x:v>
      </x:c>
      <x:c r="F41" s="56" t="str">
        <x:v>poly(UCyA-co-nBA)</x:v>
      </x:c>
      <x:c r="G41" s="56" t="str">
        <x:v>UCyA</x:v>
      </x:c>
      <x:c r="H41" s="56"/>
      <x:c r="I41" s="56" t="n">
        <x:v>10.5</x:v>
      </x:c>
      <x:c r="J41" s="56" t="n">
        <x:v>29</x:v>
      </x:c>
      <x:c r="K41" s="56"/>
      <x:c r="L41" s="56"/>
      <x:c r="M41" s="56" t="str">
        <x:v>DSC</x:v>
      </x:c>
      <x:c r="N41" s="56" t="n">
        <x:v>-16</x:v>
      </x:c>
      <x:c r="O41" s="56" t="str">
        <x:v>single copolymer Tg</x:v>
      </x:c>
      <x:c r="P41" s="56"/>
      <x:c r="Q41" s="56" t="n">
        <x:v>-47</x:v>
      </x:c>
      <x:c r="R41" s="56" t="n">
        <x:f>IF(AND(ISNUMBER(N41),ISNUMBER(Q41)),N41-Q41,"")</x:f>
        <x:v>31</x:v>
      </x:c>
      <x:c r="S41" s="56" t="n">
        <x:v>243</x:v>
      </x:c>
      <x:c r="T41" s="56"/>
      <x:c r="U41" s="56"/>
      <x:c r="V41" s="56" t="n">
        <x:v>19</x:v>
      </x:c>
      <x:c r="W41" s="56" t="n">
        <x:v>18</x:v>
      </x:c>
      <x:c r="X41" s="56" t="str">
        <x:v>reported in source table</x:v>
      </x:c>
      <x:c r="Y41" s="56" t="str">
        <x:v>Ureido cytosine and cytosine-containing acrylic copolymers</x:v>
      </x:c>
      <x:c r="Z41" s="56" t="str">
        <x:v>10.1039/C6PY01519K</x:v>
      </x:c>
      <x:c r="AA41" s="56" t="str">
        <x:v>https://doi.org/10.1039/C6PY01519K</x:v>
      </x:c>
      <x:c r="AB41" s="56" t="str">
        <x:v>UCyA rows are ureido-cytosine derivative, not unmodified cytosine.</x:v>
      </x:c>
    </x:row>
    <x:row r="42" ht="34" customHeight="1">
      <x:c r="A42" s="56" t="str">
        <x:v>C2016-CyA-21.4</x:v>
      </x:c>
      <x:c r="B42" s="56" t="str">
        <x:v>S4</x:v>
      </x:c>
      <x:c r="C42" s="56" t="str">
        <x:v>C</x:v>
      </x:c>
      <x:c r="D42" s="56" t="str">
        <x:v>CyA-21.4</x:v>
      </x:c>
      <x:c r="E42" s="56" t="str">
        <x:v>random copolymer</x:v>
      </x:c>
      <x:c r="F42" s="56" t="str">
        <x:v>poly(CyA-co-nBA)</x:v>
      </x:c>
      <x:c r="G42" s="56" t="str">
        <x:v>CyA</x:v>
      </x:c>
      <x:c r="H42" s="56"/>
      <x:c r="I42" s="56" t="n">
        <x:v>21.4</x:v>
      </x:c>
      <x:c r="J42" s="56" t="n">
        <x:v>40.2</x:v>
      </x:c>
      <x:c r="K42" s="56"/>
      <x:c r="L42" s="56"/>
      <x:c r="M42" s="56" t="str">
        <x:v>DSC</x:v>
      </x:c>
      <x:c r="N42" s="56" t="n">
        <x:v>14</x:v>
      </x:c>
      <x:c r="O42" s="56" t="str">
        <x:v>single copolymer Tg</x:v>
      </x:c>
      <x:c r="P42" s="56" t="n">
        <x:v>-7</x:v>
      </x:c>
      <x:c r="Q42" s="56" t="n">
        <x:v>-47</x:v>
      </x:c>
      <x:c r="R42" s="56" t="n">
        <x:f>IF(AND(ISNUMBER(N42),ISNUMBER(Q42)),N42-Q42,"")</x:f>
        <x:v>61</x:v>
      </x:c>
      <x:c r="S42" s="56" t="n">
        <x:v>283</x:v>
      </x:c>
      <x:c r="T42" s="56"/>
      <x:c r="U42" s="56"/>
      <x:c r="V42" s="56" t="n">
        <x:v>17</x:v>
      </x:c>
      <x:c r="W42" s="56" t="n">
        <x:v>17</x:v>
      </x:c>
      <x:c r="X42" s="56" t="str">
        <x:v>reported in source table</x:v>
      </x:c>
      <x:c r="Y42" s="56" t="str">
        <x:v>Ureido cytosine and cytosine-containing acrylic copolymers</x:v>
      </x:c>
      <x:c r="Z42" s="56" t="str">
        <x:v>10.1039/C6PY01519K</x:v>
      </x:c>
      <x:c r="AA42" s="56" t="str">
        <x:v>https://doi.org/10.1039/C6PY01519K</x:v>
      </x:c>
      <x:c r="AB42" s="56" t="str">
        <x:v>UCyA rows are ureido-cytosine derivative, not unmodified cytosine.</x:v>
      </x:c>
    </x:row>
    <x:row r="43" ht="34" customHeight="1">
      <x:c r="A43" s="56" t="str">
        <x:v>C2016-UCyA-21.4</x:v>
      </x:c>
      <x:c r="B43" s="56" t="str">
        <x:v>S4</x:v>
      </x:c>
      <x:c r="C43" s="56" t="str">
        <x:v>C derivative (UCy)</x:v>
      </x:c>
      <x:c r="D43" s="56" t="str">
        <x:v>UCyA-21.4</x:v>
      </x:c>
      <x:c r="E43" s="56" t="str">
        <x:v>random copolymer</x:v>
      </x:c>
      <x:c r="F43" s="56" t="str">
        <x:v>poly(UCyA-co-nBA)</x:v>
      </x:c>
      <x:c r="G43" s="56" t="str">
        <x:v>UCyA</x:v>
      </x:c>
      <x:c r="H43" s="56"/>
      <x:c r="I43" s="56" t="n">
        <x:v>21.4</x:v>
      </x:c>
      <x:c r="J43" s="56" t="n">
        <x:v>48.8</x:v>
      </x:c>
      <x:c r="K43" s="56"/>
      <x:c r="L43" s="56"/>
      <x:c r="M43" s="56" t="str">
        <x:v>DSC</x:v>
      </x:c>
      <x:c r="N43" s="56" t="n">
        <x:v>28</x:v>
      </x:c>
      <x:c r="O43" s="56" t="str">
        <x:v>single copolymer Tg</x:v>
      </x:c>
      <x:c r="P43" s="56"/>
      <x:c r="Q43" s="56" t="n">
        <x:v>-47</x:v>
      </x:c>
      <x:c r="R43" s="56" t="n">
        <x:f>IF(AND(ISNUMBER(N43),ISNUMBER(Q43)),N43-Q43,"")</x:f>
        <x:v>75</x:v>
      </x:c>
      <x:c r="S43" s="56" t="n">
        <x:v>210</x:v>
      </x:c>
      <x:c r="T43" s="56"/>
      <x:c r="U43" s="56"/>
      <x:c r="V43" s="56" t="n">
        <x:v>35</x:v>
      </x:c>
      <x:c r="W43" s="56" t="n">
        <x:v>29</x:v>
      </x:c>
      <x:c r="X43" s="56" t="str">
        <x:v>reported in source table</x:v>
      </x:c>
      <x:c r="Y43" s="56" t="str">
        <x:v>Ureido cytosine and cytosine-containing acrylic copolymers</x:v>
      </x:c>
      <x:c r="Z43" s="56" t="str">
        <x:v>10.1039/C6PY01519K</x:v>
      </x:c>
      <x:c r="AA43" s="56" t="str">
        <x:v>https://doi.org/10.1039/C6PY01519K</x:v>
      </x:c>
      <x:c r="AB43" s="56" t="str">
        <x:v>UCyA rows are ureido-cytosine derivative, not unmodified cytosine.</x:v>
      </x:c>
    </x:row>
    <x:row r="44" ht="34" customHeight="1">
      <x:c r="A44" s="56" t="str">
        <x:v>C2016-polyCyA</x:v>
      </x:c>
      <x:c r="B44" s="56" t="str">
        <x:v>S4</x:v>
      </x:c>
      <x:c r="C44" s="56" t="str">
        <x:v>C</x:v>
      </x:c>
      <x:c r="D44" s="56" t="str">
        <x:v>poly(CyA)</x:v>
      </x:c>
      <x:c r="E44" s="56" t="str">
        <x:v>homopolymer</x:v>
      </x:c>
      <x:c r="F44" s="56" t="str">
        <x:v>poly(cytosine acrylate)</x:v>
      </x:c>
      <x:c r="G44" s="56" t="str">
        <x:v>CyA</x:v>
      </x:c>
      <x:c r="H44" s="56"/>
      <x:c r="I44" s="56" t="n">
        <x:v>100</x:v>
      </x:c>
      <x:c r="J44" s="56"/>
      <x:c r="K44" s="56"/>
      <x:c r="L44" s="56"/>
      <x:c r="M44" s="56" t="str">
        <x:v>DSC</x:v>
      </x:c>
      <x:c r="N44" s="56" t="n">
        <x:v>90</x:v>
      </x:c>
      <x:c r="O44" s="56" t="str">
        <x:v>single homopolymer Tg</x:v>
      </x:c>
      <x:c r="P44" s="56"/>
      <x:c r="Q44" s="56" t="n">
        <x:v>-47</x:v>
      </x:c>
      <x:c r="R44" s="56" t="n">
        <x:f>IF(AND(ISNUMBER(N44),ISNUMBER(Q44)),N44-Q44,"")</x:f>
        <x:v>137</x:v>
      </x:c>
      <x:c r="S44" s="56"/>
      <x:c r="T44" s="56"/>
      <x:c r="U44" s="56"/>
      <x:c r="V44" s="56"/>
      <x:c r="W44" s="56"/>
      <x:c r="X44" s="56" t="str">
        <x:v>reported in source text</x:v>
      </x:c>
      <x:c r="Y44" s="56" t="str">
        <x:v>Ureido cytosine and cytosine-containing acrylic copolymers</x:v>
      </x:c>
      <x:c r="Z44" s="56" t="str">
        <x:v>10.1039/C6PY01519K</x:v>
      </x:c>
      <x:c r="AA44" s="56" t="str">
        <x:v>https://doi.org/10.1039/C6PY01519K</x:v>
      </x:c>
      <x:c r="AB44" s="56" t="str">
        <x:v>Poly(CyA) Tg from RSC text; delta vs PnBA is rough reference.</x:v>
      </x:c>
    </x:row>
    <x:row r="45" ht="34" customHeight="1">
      <x:c r="A45" s="56" t="str">
        <x:v>GC2024-2PGuA-co-PnBA</x:v>
      </x:c>
      <x:c r="B45" s="56" t="str">
        <x:v>S5</x:v>
      </x:c>
      <x:c r="C45" s="56" t="str">
        <x:v>G</x:v>
      </x:c>
      <x:c r="D45" s="56" t="str">
        <x:v>2PGuA-co-PnBA</x:v>
      </x:c>
      <x:c r="E45" s="56" t="str">
        <x:v>random copolymer</x:v>
      </x:c>
      <x:c r="F45" s="56" t="str">
        <x:v>2poly(GuA)-co-PnBA</x:v>
      </x:c>
      <x:c r="G45" s="56" t="str">
        <x:v>GuA</x:v>
      </x:c>
      <x:c r="H45" s="56"/>
      <x:c r="I45" s="56" t="n">
        <x:v>2</x:v>
      </x:c>
      <x:c r="J45" s="56"/>
      <x:c r="K45" s="56"/>
      <x:c r="L45" s="56"/>
      <x:c r="M45" s="56" t="str">
        <x:v>DSC</x:v>
      </x:c>
      <x:c r="N45" s="56" t="n">
        <x:v>-46</x:v>
      </x:c>
      <x:c r="O45" s="56" t="str">
        <x:v>copolymer Tg</x:v>
      </x:c>
      <x:c r="P45" s="56"/>
      <x:c r="Q45" s="56" t="n">
        <x:v>-47</x:v>
      </x:c>
      <x:c r="R45" s="56" t="n">
        <x:f>IF(AND(ISNUMBER(N45),ISNUMBER(Q45)),N45-Q45,"")</x:f>
        <x:v>1</x:v>
      </x:c>
      <x:c r="S45" s="56"/>
      <x:c r="T45" s="56"/>
      <x:c r="U45" s="56" t="str">
        <x:v>free-standing film; plateau E' endpoint reported at 0.13 MPa; flow onset endpoint 25 °C</x:v>
      </x:c>
      <x:c r="V45" s="56"/>
      <x:c r="W45" s="56"/>
      <x:c r="X45" s="56" t="str">
        <x:v>extracted from figure/text</x:v>
      </x:c>
      <x:c r="Y45" s="56" t="str">
        <x:v>Guanine and cytosine-containing acrylic supramolecular networks</x:v>
      </x:c>
      <x:c r="Z45" s="56" t="str">
        <x:v>10.1002/pol.20230320</x:v>
      </x:c>
      <x:c r="AA45" s="56" t="str">
        <x:v>https://doi.org/10.1002/pol.20230320</x:v>
      </x:c>
      <x:c r="AB45" s="56" t="str">
        <x:v>Figure-labeled DSC Tg from uploaded main paper; endpoint DMA values from text.</x:v>
      </x:c>
    </x:row>
    <x:row r="46" ht="34" customHeight="1">
      <x:c r="A46" s="56" t="str">
        <x:v>GC2024-4PGuA-co-PnBA</x:v>
      </x:c>
      <x:c r="B46" s="56" t="str">
        <x:v>S5</x:v>
      </x:c>
      <x:c r="C46" s="56" t="str">
        <x:v>G</x:v>
      </x:c>
      <x:c r="D46" s="56" t="str">
        <x:v>4PGuA-co-PnBA</x:v>
      </x:c>
      <x:c r="E46" s="56" t="str">
        <x:v>random copolymer</x:v>
      </x:c>
      <x:c r="F46" s="56" t="str">
        <x:v>4poly(GuA)-co-PnBA</x:v>
      </x:c>
      <x:c r="G46" s="56" t="str">
        <x:v>GuA</x:v>
      </x:c>
      <x:c r="H46" s="56"/>
      <x:c r="I46" s="56" t="n">
        <x:v>4</x:v>
      </x:c>
      <x:c r="J46" s="56"/>
      <x:c r="K46" s="56"/>
      <x:c r="L46" s="56"/>
      <x:c r="M46" s="56" t="str">
        <x:v>DSC</x:v>
      </x:c>
      <x:c r="N46" s="56" t="n">
        <x:v>-41</x:v>
      </x:c>
      <x:c r="O46" s="56" t="str">
        <x:v>copolymer Tg</x:v>
      </x:c>
      <x:c r="P46" s="56"/>
      <x:c r="Q46" s="56" t="n">
        <x:v>-47</x:v>
      </x:c>
      <x:c r="R46" s="56" t="n">
        <x:f>IF(AND(ISNUMBER(N46),ISNUMBER(Q46)),N46-Q46,"")</x:f>
        <x:v>6</x:v>
      </x:c>
      <x:c r="S46" s="56"/>
      <x:c r="T46" s="56"/>
      <x:c r="U46" s="56" t="str">
        <x:v>free-standing film</x:v>
      </x:c>
      <x:c r="V46" s="56"/>
      <x:c r="W46" s="56"/>
      <x:c r="X46" s="56" t="str">
        <x:v>extracted from figure</x:v>
      </x:c>
      <x:c r="Y46" s="56" t="str">
        <x:v>Guanine and cytosine-containing acrylic supramolecular networks</x:v>
      </x:c>
      <x:c r="Z46" s="56" t="str">
        <x:v>10.1002/pol.20230320</x:v>
      </x:c>
      <x:c r="AA46" s="56" t="str">
        <x:v>https://doi.org/10.1002/pol.20230320</x:v>
      </x:c>
      <x:c r="AB46" s="56" t="str">
        <x:v>Figure-labeled DSC Tg from uploaded main paper.</x:v>
      </x:c>
    </x:row>
    <x:row r="47" ht="34" customHeight="1">
      <x:c r="A47" s="56" t="str">
        <x:v>GC2024-11PGuA-co-PnBA</x:v>
      </x:c>
      <x:c r="B47" s="56" t="str">
        <x:v>S5</x:v>
      </x:c>
      <x:c r="C47" s="56" t="str">
        <x:v>G</x:v>
      </x:c>
      <x:c r="D47" s="56" t="str">
        <x:v>11PGuA-co-PnBA</x:v>
      </x:c>
      <x:c r="E47" s="56" t="str">
        <x:v>random copolymer</x:v>
      </x:c>
      <x:c r="F47" s="56" t="str">
        <x:v>11poly(GuA)-co-PnBA</x:v>
      </x:c>
      <x:c r="G47" s="56" t="str">
        <x:v>GuA</x:v>
      </x:c>
      <x:c r="H47" s="56"/>
      <x:c r="I47" s="56" t="n">
        <x:v>11</x:v>
      </x:c>
      <x:c r="J47" s="56"/>
      <x:c r="K47" s="56"/>
      <x:c r="L47" s="56"/>
      <x:c r="M47" s="56" t="str">
        <x:v>DSC</x:v>
      </x:c>
      <x:c r="N47" s="56" t="n">
        <x:v>-17</x:v>
      </x:c>
      <x:c r="O47" s="56" t="str">
        <x:v>copolymer Tg</x:v>
      </x:c>
      <x:c r="P47" s="56"/>
      <x:c r="Q47" s="56" t="n">
        <x:v>-47</x:v>
      </x:c>
      <x:c r="R47" s="56" t="n">
        <x:f>IF(AND(ISNUMBER(N47),ISNUMBER(Q47)),N47-Q47,"")</x:f>
        <x:v>30</x:v>
      </x:c>
      <x:c r="S47" s="56"/>
      <x:c r="T47" s="56" t="n">
        <x:v>95</x:v>
      </x:c>
      <x:c r="U47" s="56" t="str">
        <x:v>free-standing film; plateau E' endpoint 37 MPa; flow onset endpoint 96 °C</x:v>
      </x:c>
      <x:c r="V47" s="56"/>
      <x:c r="W47" s="56"/>
      <x:c r="X47" s="56" t="str">
        <x:v>extracted from figure/text</x:v>
      </x:c>
      <x:c r="Y47" s="56" t="str">
        <x:v>Guanine and cytosine-containing acrylic supramolecular networks</x:v>
      </x:c>
      <x:c r="Z47" s="56" t="str">
        <x:v>10.1002/pol.20230320</x:v>
      </x:c>
      <x:c r="AA47" s="56" t="str">
        <x:v>https://doi.org/10.1002/pol.20230320</x:v>
      </x:c>
      <x:c r="AB47" s="56" t="str">
        <x:v>Second endotherm interpreted by authors as phase transition/dissociation of supramolecular network.</x:v>
      </x:c>
    </x:row>
    <x:row r="48" ht="34" customHeight="1">
      <x:c r="A48" s="56" t="str">
        <x:v>GC2024-PGuA</x:v>
      </x:c>
      <x:c r="B48" s="56" t="str">
        <x:v>S5</x:v>
      </x:c>
      <x:c r="C48" s="56" t="str">
        <x:v>G</x:v>
      </x:c>
      <x:c r="D48" s="56" t="str">
        <x:v>PGuA</x:v>
      </x:c>
      <x:c r="E48" s="56" t="str">
        <x:v>homopolymer</x:v>
      </x:c>
      <x:c r="F48" s="56" t="str">
        <x:v>poly(GuA)</x:v>
      </x:c>
      <x:c r="G48" s="56" t="str">
        <x:v>GuA</x:v>
      </x:c>
      <x:c r="H48" s="56"/>
      <x:c r="I48" s="56" t="n">
        <x:v>100</x:v>
      </x:c>
      <x:c r="J48" s="56"/>
      <x:c r="K48" s="56"/>
      <x:c r="L48" s="56"/>
      <x:c r="M48" s="56" t="str">
        <x:v>DSC</x:v>
      </x:c>
      <x:c r="N48" s="56" t="n">
        <x:v>130</x:v>
      </x:c>
      <x:c r="O48" s="56" t="str">
        <x:v>single Tg</x:v>
      </x:c>
      <x:c r="P48" s="56"/>
      <x:c r="Q48" s="56" t="n">
        <x:v>-47</x:v>
      </x:c>
      <x:c r="R48" s="56" t="n">
        <x:f>IF(AND(ISNUMBER(N48),ISNUMBER(Q48)),N48-Q48,"")</x:f>
        <x:v>177</x:v>
      </x:c>
      <x:c r="S48" s="56"/>
      <x:c r="T48" s="56"/>
      <x:c r="U48" s="56" t="str">
        <x:v>homopolymer control</x:v>
      </x:c>
      <x:c r="V48" s="56"/>
      <x:c r="W48" s="56"/>
      <x:c r="X48" s="56" t="str">
        <x:v>reported in source text/figure</x:v>
      </x:c>
      <x:c r="Y48" s="56" t="str">
        <x:v>Guanine and cytosine-containing acrylic supramolecular networks</x:v>
      </x:c>
      <x:c r="Z48" s="56" t="str">
        <x:v>10.1002/pol.20230320</x:v>
      </x:c>
      <x:c r="AA48" s="56" t="str">
        <x:v>https://doi.org/10.1002/pol.20230320</x:v>
      </x:c>
      <x:c r="AB48" s="56" t="str">
        <x:v>Poly(GuA) homopolymer control.</x:v>
      </x:c>
    </x:row>
    <x:row r="49" ht="34" customHeight="1">
      <x:c r="A49" s="56" t="str">
        <x:v>GC2024-4PCyA-co-PnBA</x:v>
      </x:c>
      <x:c r="B49" s="56" t="str">
        <x:v>S5</x:v>
      </x:c>
      <x:c r="C49" s="56" t="str">
        <x:v>C</x:v>
      </x:c>
      <x:c r="D49" s="56" t="str">
        <x:v>4PCyA-co-PnBA</x:v>
      </x:c>
      <x:c r="E49" s="56" t="str">
        <x:v>random copolymer</x:v>
      </x:c>
      <x:c r="F49" s="56" t="str">
        <x:v>4poly(CyA)-co-PnBA</x:v>
      </x:c>
      <x:c r="G49" s="56" t="str">
        <x:v>CyA</x:v>
      </x:c>
      <x:c r="H49" s="56"/>
      <x:c r="I49" s="56" t="n">
        <x:v>4</x:v>
      </x:c>
      <x:c r="J49" s="56"/>
      <x:c r="K49" s="56"/>
      <x:c r="L49" s="56"/>
      <x:c r="M49" s="56" t="str">
        <x:v>DSC</x:v>
      </x:c>
      <x:c r="N49" s="56" t="n">
        <x:v>-46</x:v>
      </x:c>
      <x:c r="O49" s="56" t="str">
        <x:v>copolymer Tg</x:v>
      </x:c>
      <x:c r="P49" s="56"/>
      <x:c r="Q49" s="56" t="n">
        <x:v>-47</x:v>
      </x:c>
      <x:c r="R49" s="56" t="n">
        <x:f>IF(AND(ISNUMBER(N49),ISNUMBER(Q49)),N49-Q49,"")</x:f>
        <x:v>1</x:v>
      </x:c>
      <x:c r="S49" s="56"/>
      <x:c r="T49" s="56"/>
      <x:c r="U49" s="56" t="str">
        <x:v>tacky solid; lacked prerequisite integrity for mechanical testing</x:v>
      </x:c>
      <x:c r="V49" s="56"/>
      <x:c r="W49" s="56"/>
      <x:c r="X49" s="56" t="str">
        <x:v>extracted from figure/text</x:v>
      </x:c>
      <x:c r="Y49" s="56" t="str">
        <x:v>Guanine and cytosine-containing acrylic supramolecular networks</x:v>
      </x:c>
      <x:c r="Z49" s="56" t="str">
        <x:v>10.1002/pol.20230320</x:v>
      </x:c>
      <x:c r="AA49" s="56" t="str">
        <x:v>https://doi.org/10.1002/pol.20230320</x:v>
      </x:c>
      <x:c r="AB49" s="56" t="str">
        <x:v>Figure-labeled DSC Tg from uploaded main paper.</x:v>
      </x:c>
    </x:row>
    <x:row r="50" ht="34" customHeight="1">
      <x:c r="A50" s="56" t="str">
        <x:v>GC2024-10PCyA-co-PnBA</x:v>
      </x:c>
      <x:c r="B50" s="56" t="str">
        <x:v>S5</x:v>
      </x:c>
      <x:c r="C50" s="56" t="str">
        <x:v>C</x:v>
      </x:c>
      <x:c r="D50" s="56" t="str">
        <x:v>10PCyA-co-PnBA</x:v>
      </x:c>
      <x:c r="E50" s="56" t="str">
        <x:v>random copolymer</x:v>
      </x:c>
      <x:c r="F50" s="56" t="str">
        <x:v>10poly(CyA)-co-PnBA</x:v>
      </x:c>
      <x:c r="G50" s="56" t="str">
        <x:v>CyA</x:v>
      </x:c>
      <x:c r="H50" s="56"/>
      <x:c r="I50" s="56" t="n">
        <x:v>10</x:v>
      </x:c>
      <x:c r="J50" s="56"/>
      <x:c r="K50" s="56"/>
      <x:c r="L50" s="56"/>
      <x:c r="M50" s="56" t="str">
        <x:v>DSC</x:v>
      </x:c>
      <x:c r="N50" s="56" t="n">
        <x:v>-21</x:v>
      </x:c>
      <x:c r="O50" s="56" t="str">
        <x:v>copolymer Tg</x:v>
      </x:c>
      <x:c r="P50" s="56"/>
      <x:c r="Q50" s="56" t="n">
        <x:v>-47</x:v>
      </x:c>
      <x:c r="R50" s="56" t="n">
        <x:f>IF(AND(ISNUMBER(N50),ISNUMBER(Q50)),N50-Q50,"")</x:f>
        <x:v>26</x:v>
      </x:c>
      <x:c r="S50" s="56"/>
      <x:c r="T50" s="56" t="n">
        <x:v>89</x:v>
      </x:c>
      <x:c r="U50" s="56" t="str">
        <x:v>free-standing film; single tan delta maximum; no plateau modulus observed</x:v>
      </x:c>
      <x:c r="V50" s="56"/>
      <x:c r="W50" s="56"/>
      <x:c r="X50" s="56" t="str">
        <x:v>extracted from figure/text</x:v>
      </x:c>
      <x:c r="Y50" s="56" t="str">
        <x:v>Guanine and cytosine-containing acrylic supramolecular networks</x:v>
      </x:c>
      <x:c r="Z50" s="56" t="str">
        <x:v>10.1002/pol.20230320</x:v>
      </x:c>
      <x:c r="AA50" s="56" t="str">
        <x:v>https://doi.org/10.1002/pol.20230320</x:v>
      </x:c>
      <x:c r="AB50" s="56" t="str">
        <x:v>Second endotherm interpreted as phase transition/dissociation of supramolecular network.</x:v>
      </x:c>
    </x:row>
    <x:row r="51" ht="34" customHeight="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</x:row>
    <x:row r="52" ht="34" customHeight="1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</x:row>
    <x:row r="53" ht="34" customHeight="1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</x:row>
    <x:row r="54" ht="34" customHeight="1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</x:row>
    <x:row r="55" ht="34" customHeight="1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</x:row>
    <x:row r="56" ht="34" customHeight="1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</x:row>
    <x:row r="57" ht="34" customHeight="1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</x:row>
    <x:row r="58" ht="34" customHeight="1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</x:row>
    <x:row r="59" ht="34" customHeight="1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</x:row>
    <x:row r="60" ht="34" customHeight="1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</x:row>
    <x:row r="61" ht="34" customHeight="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</x:row>
    <x:row r="62" ht="34" customHeight="1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</x:row>
    <x:row r="63" ht="34" customHeight="1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</x:row>
    <x:row r="64" ht="34" customHeight="1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</x:row>
    <x:row r="65" ht="34" customHeight="1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</x:row>
    <x:row r="66" ht="34" customHeight="1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</x:row>
    <x:row r="67" ht="34" customHeight="1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</x:row>
    <x:row r="68" ht="34" customHeight="1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</x:row>
    <x:row r="69" ht="34" customHeight="1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</x:row>
    <x:row r="70" ht="34" customHeight="1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</x:row>
    <x:row r="71" ht="34" customHeight="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</x:row>
    <x:row r="72" ht="34" customHeight="1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</x:row>
    <x:row r="73" ht="34" customHeight="1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</x:row>
    <x:row r="74" ht="34" customHeight="1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</x:row>
    <x:row r="75" ht="34" customHeight="1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</x:row>
    <x:row r="76" ht="34" customHeight="1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</x:row>
    <x:row r="77" ht="34" customHeight="1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</x:row>
    <x:row r="78" ht="34" customHeight="1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</x:row>
    <x:row r="79" ht="34" customHeight="1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</x:row>
    <x:row r="80" ht="34" customHeight="1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</x:row>
    <x:row r="81" ht="34" customHeight="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</x:row>
    <x:row r="82" ht="34" customHeight="1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</x:row>
    <x:row r="83" ht="34" customHeight="1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</x:row>
    <x:row r="84" ht="34" customHeight="1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</x:row>
    <x:row r="85" ht="34" customHeight="1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</x:row>
    <x:row r="86" ht="34" customHeight="1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</x:row>
    <x:row r="87" ht="34" customHeight="1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</x:row>
    <x:row r="88" ht="34" customHeight="1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</x:row>
    <x:row r="89" ht="34" customHeight="1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</x:row>
    <x:row r="90" ht="34" customHeight="1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</x:row>
    <x:row r="91" ht="34" customHeight="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</x:row>
    <x:row r="92" ht="34" customHeight="1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</x:row>
    <x:row r="93" ht="34" customHeight="1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</x:row>
    <x:row r="94" ht="34" customHeight="1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</x:row>
    <x:row r="95" ht="34" customHeight="1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</x:row>
    <x:row r="96" ht="34" customHeight="1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</x:row>
    <x:row r="97" ht="34" customHeight="1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</x:row>
    <x:row r="98" ht="34" customHeight="1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</x:row>
    <x:row r="99" ht="34" customHeight="1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</x:row>
    <x:row r="100" ht="34" customHeight="1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</x:row>
    <x:row r="101" ht="34" customHeight="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</x:row>
    <x:row r="102" ht="34" customHeight="1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</x:row>
    <x:row r="103" ht="34" customHeight="1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</x:row>
    <x:row r="104" ht="34" customHeight="1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</x:row>
    <x:row r="105" ht="34" customHeight="1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</x:row>
    <x:row r="106" ht="34" customHeight="1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</x:row>
    <x:row r="107" ht="34" customHeight="1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</x:row>
    <x:row r="108" ht="34" customHeight="1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</x:row>
    <x:row r="109" ht="34" customHeight="1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</x:row>
    <x:row r="110" ht="34" customHeight="1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</x:row>
    <x:row r="111" ht="34" customHeight="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</x:row>
    <x:row r="112" ht="34" customHeight="1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</x:row>
    <x:row r="113" ht="34" customHeight="1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</x:row>
    <x:row r="114" ht="34" customHeight="1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</x:row>
    <x:row r="115" ht="34" customHeight="1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</x:row>
    <x:row r="116" ht="34" customHeight="1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</x:row>
    <x:row r="117" ht="34" customHeight="1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</x:row>
    <x:row r="118" ht="34" customHeight="1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</x:row>
    <x:row r="119" ht="34" customHeight="1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</x:row>
    <x:row r="120" ht="34" customHeight="1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</x:row>
    <x:row r="121" ht="34" customHeight="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</x:row>
    <x:row r="122" ht="34" customHeight="1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</x:row>
    <x:row r="123" ht="34" customHeight="1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</x:row>
    <x:row r="124" ht="34" customHeight="1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</x:row>
    <x:row r="125" ht="34" customHeight="1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</x:row>
    <x:row r="126" ht="34" customHeight="1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</x:row>
    <x:row r="127" ht="34" customHeight="1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</x:row>
    <x:row r="128" ht="34" customHeight="1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</x:row>
    <x:row r="129" ht="34" customHeight="1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</x:row>
    <x:row r="130" ht="34" customHeight="1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</x:row>
    <x:row r="131" ht="34" customHeight="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</x:row>
    <x:row r="132" ht="34" customHeight="1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</x:row>
    <x:row r="133" ht="34" customHeight="1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</x:row>
    <x:row r="134" ht="34" customHeight="1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</x:row>
    <x:row r="135" ht="34" customHeight="1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</x:row>
    <x:row r="136" ht="34" customHeight="1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</x:row>
    <x:row r="137" ht="34" customHeight="1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</x:row>
    <x:row r="138" ht="34" customHeight="1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</x:row>
    <x:row r="139" ht="34" customHeight="1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</x:row>
    <x:row r="140" ht="34" customHeight="1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</x:row>
    <x:row r="141" ht="34" customHeight="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</x:row>
    <x:row r="142" ht="34" customHeight="1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</x:row>
    <x:row r="143" ht="34" customHeight="1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</x:row>
    <x:row r="144" ht="34" customHeight="1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</x:row>
    <x:row r="145" ht="34" customHeight="1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</x:row>
    <x:row r="146" ht="34" customHeight="1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</x:row>
    <x:row r="147" ht="34" customHeight="1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</x:row>
    <x:row r="148" ht="34" customHeight="1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</x:row>
    <x:row r="149" ht="34" customHeight="1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</x:row>
    <x:row r="150" ht="34" customHeight="1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</x:row>
    <x:row r="151" ht="34" customHeight="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</x:row>
    <x:row r="152" ht="34" customHeight="1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</x:row>
    <x:row r="153" ht="34" customHeight="1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</x:row>
    <x:row r="154" ht="34" customHeight="1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</x:row>
    <x:row r="155" ht="34" customHeight="1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</x:row>
    <x:row r="156" ht="34" customHeight="1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</x:row>
    <x:row r="157" ht="34" customHeight="1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</x:row>
    <x:row r="158" ht="34" customHeight="1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</x:row>
    <x:row r="159" ht="34" customHeight="1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</x:row>
    <x:row r="160" ht="34" customHeight="1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</x:row>
    <x:row r="161" ht="34" customHeight="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</x:row>
    <x:row r="162" ht="34" customHeight="1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</x:row>
    <x:row r="163" ht="34" customHeight="1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</x:row>
    <x:row r="164" ht="34" customHeight="1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</x:row>
    <x:row r="165" ht="34" customHeight="1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</x:row>
    <x:row r="166" ht="34" customHeight="1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</x:row>
    <x:row r="167" ht="34" customHeight="1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</x:row>
    <x:row r="168" ht="34" customHeight="1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</x:row>
    <x:row r="169" ht="34" customHeight="1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</x:row>
    <x:row r="170" ht="34" customHeight="1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</x:row>
    <x:row r="171" ht="34" customHeight="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</x:row>
    <x:row r="172" ht="34" customHeight="1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</x:row>
    <x:row r="173" ht="34" customHeight="1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</x:row>
    <x:row r="174" ht="34" customHeight="1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</x:row>
    <x:row r="175" ht="34" customHeight="1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</x:row>
    <x:row r="176" ht="34" customHeight="1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</x:row>
    <x:row r="177" ht="34" customHeight="1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</x:row>
    <x:row r="178" ht="34" customHeight="1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</x:row>
    <x:row r="179" ht="34" customHeight="1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</x:row>
    <x:row r="180" ht="34" customHeight="1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</x:row>
    <x:row r="181" ht="34" customHeight="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</x:row>
    <x:row r="182" ht="34" customHeight="1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</x:row>
    <x:row r="183" ht="34" customHeight="1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</x:row>
    <x:row r="184" ht="34" customHeight="1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</x:row>
    <x:row r="185" ht="34" customHeight="1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</x:row>
    <x:row r="186" ht="34" customHeight="1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</x:row>
    <x:row r="187" ht="34" customHeight="1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</x:row>
    <x:row r="188" ht="34" customHeight="1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</x:row>
    <x:row r="189" ht="34" customHeight="1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</x:row>
    <x:row r="190" ht="34" customHeight="1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</x:row>
    <x:row r="191" ht="34" customHeight="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</x:row>
    <x:row r="192" ht="34" customHeight="1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</x:row>
    <x:row r="193" ht="34" customHeight="1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</x:row>
    <x:row r="194" ht="34" customHeight="1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</x:row>
    <x:row r="195" ht="34" customHeight="1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</x:row>
    <x:row r="196" ht="34" customHeight="1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</x:row>
    <x:row r="197" ht="34" customHeight="1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</x:row>
    <x:row r="198" ht="34" customHeight="1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</x:row>
    <x:row r="199" ht="34" customHeight="1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</x:row>
    <x:row r="200" ht="34" customHeight="1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</x:row>
  </x:sheetData>
  <x:pageMargins left="0.7" right="0.7" top="0.75" bottom="0.75" header="0.3" footer="0.3"/>
  <x:tableParts count="1">
    <x:tablePart xmlns:r="http://schemas.openxmlformats.org/officeDocument/2006/relationships" r:id="R245b97b480d4446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34" hidden="0" customWidth="1"/>
    <x:col min="5" max="5" width="65" hidden="0" customWidth="1"/>
    <x:col min="6" max="6" width="48" hidden="0" customWidth="1"/>
    <x:col min="7" max="7" width="60" hidden="0" customWidth="1"/>
    <x:col min="8" max="8" width="42" hidden="0" customWidth="1"/>
    <x:col min="9" max="9" width="55" hidden="0" customWidth="1"/>
  </x:cols>
  <x:sheetData>
    <x:row r="1" ht="42" customHeight="1">
      <x:c r="A1" s="64" t="str">
        <x:v>Finding_ID</x:v>
      </x:c>
      <x:c r="B1" s="64" t="str">
        <x:v>Source_ID</x:v>
      </x:c>
      <x:c r="C1" s="64" t="str">
        <x:v>Nucleobase_or_System</x:v>
      </x:c>
      <x:c r="D1" s="64" t="str">
        <x:v>Polymer_System</x:v>
      </x:c>
      <x:c r="E1" s="64" t="str">
        <x:v>Finding</x:v>
      </x:c>
      <x:c r="F1" s="64" t="str">
        <x:v>Numerical_Info</x:v>
      </x:c>
      <x:c r="G1" s="64" t="str">
        <x:v>Implication_for_Tg_Modeling</x:v>
      </x:c>
      <x:c r="H1" s="64" t="str">
        <x:v>Source_URL</x:v>
      </x:c>
      <x:c r="I1" s="64" t="str">
        <x:v>Notes</x:v>
      </x:c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</x:row>
    <x:row r="2" ht="60" customHeight="1">
      <x:c r="A2" s="56" t="str">
        <x:v>Q1</x:v>
      </x:c>
      <x:c r="B2" s="56" t="str">
        <x:v>S5</x:v>
      </x:c>
      <x:c r="C2" s="56" t="str">
        <x:v>G vs C</x:v>
      </x:c>
      <x:c r="D2" s="56" t="str">
        <x:v>PGuA-co-PnBA vs PCyA-co-PnBA</x:v>
      </x:c>
      <x:c r="E2" s="56" t="str">
        <x:v>Guanine-containing copolymers showed superior thermal properties, thermomechanical performance, and more defined morphology than cytosine analogs.</x:v>
      </x:c>
      <x:c r="F2" s="56" t="str">
        <x:v>2 mol% GuA films were free-standing; 2 and 4 mol% CyA were tacky solids; 11 mol% GuA plateau E' endpoint 37 MPa vs no plateau for 10 mol% CyA.</x:v>
      </x:c>
      <x:c r="G2" s="56" t="str">
        <x:v>Treat G as stronger Tg/thermal-reinforcing pendant group than C for similar acrylic/nBA architecture.</x:v>
      </x:c>
      <x:c r="H2" s="56" t="str">
        <x:v>https://doi.org/10.1002/pol.20230320</x:v>
      </x:c>
      <x:c r="I2" s="56" t="str">
        <x:v>Numeric Tg values available in Quantitative_Tg_Data from main figure; full SI table not included in uploaded file.</x:v>
      </x:c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</x:row>
    <x:row r="3" ht="60" customHeight="1">
      <x:c r="A3" s="56" t="str">
        <x:v>Q2</x:v>
      </x:c>
      <x:c r="B3" s="56" t="str">
        <x:v>S5</x:v>
      </x:c>
      <x:c r="C3" s="56" t="str">
        <x:v>G+C blend</x:v>
      </x:c>
      <x:c r="D3" s="56" t="str">
        <x:v>GC blend of PGuA-co-PnBA and PCyA-co-PnBA</x:v>
      </x:c>
      <x:c r="E3" s="56" t="str">
        <x:v>Equimolar GC blend gave intermediate Tg, E', and terminal flow behavior, suggesting imperfect G-C association in random copolymer blends.</x:v>
      </x:c>
      <x:c r="F3" s="56" t="str">
        <x:v>Base-pair stacking peak at q = 9.14 nm^-1, d = 0.68 nm; peak decreased at 60 °C and disappeared at 90 °C.</x:v>
      </x:c>
      <x:c r="G3" s="56" t="str">
        <x:v>Complementary pairing may not simply maximize Tg in random copolymer blends; microphase separation can screen recognition.</x:v>
      </x:c>
      <x:c r="H3" s="56" t="str">
        <x:v>https://doi.org/10.1002/pol.20230320</x:v>
      </x:c>
      <x:c r="I3" s="56" t="str">
        <x:v>Qualitative row because no explicit numerical Tg for blend was labeled in the main paper text.</x:v>
      </x:c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</x:row>
    <x:row r="4" ht="60" customHeight="1">
      <x:c r="A4" s="56" t="str">
        <x:v>Q3</x:v>
      </x:c>
      <x:c r="B4" s="56" t="str">
        <x:v>S6</x:v>
      </x:c>
      <x:c r="C4" s="56" t="str">
        <x:v>AcG/AcC</x:v>
      </x:c>
      <x:c r="D4" s="56" t="str">
        <x:v>acetyl-protected G/C nBA copolymers</x:v>
      </x:c>
      <x:c r="E4" s="56" t="str">
        <x:v>Guanine/cytosine-containing copolymers each exhibited a single Tg that increased with nucleobase content.</x:v>
      </x:c>
      <x:c r="F4" s="56" t="str">
        <x:v>AcG copolymers with &gt;=8 mol% formed free-standing films; AcC needed &gt;=15 mol%; 3 mol% AcG showed higher peel strength than cytosine counterpart.</x:v>
      </x:c>
      <x:c r="G4" s="56" t="str">
        <x:v>Supports G being a stronger reinforcing/self-associating unit than C, though acetyl protection changes H-bonding.</x:v>
      </x:c>
      <x:c r="H4" s="56" t="str">
        <x:v>https://doi.org/10.1080/00218464.2017.1419430</x:v>
      </x:c>
      <x:c r="I4" s="56" t="str">
        <x:v>Public abstract/source metadata only; no numeric Tg table captured.</x:v>
      </x:c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</x:row>
    <x:row r="5" ht="60" customHeight="1">
      <x:c r="A5" s="56" t="str">
        <x:v>Q4</x:v>
      </x:c>
      <x:c r="B5" s="56" t="str">
        <x:v>S1</x:v>
      </x:c>
      <x:c r="C5" s="56" t="str">
        <x:v>A vs T</x:v>
      </x:c>
      <x:c r="D5" s="56" t="str">
        <x:v>poly(nBA-co-acrylic adenine/thymine)</x:v>
      </x:c>
      <x:c r="E5" s="56" t="str">
        <x:v>Adenine raised Tg and produced stronger self-assembly than thymine at comparable molar concentrations.</x:v>
      </x:c>
      <x:c r="F5" s="56" t="str">
        <x:v>A-7 showed rubber plateau 5-50 °C and flow at 57 °C; A-16 flow at 85 °C; thymine showed shorter/less defined plateau even at higher nucleobase content.</x:v>
      </x:c>
      <x:c r="G5" s="56" t="str">
        <x:v>For A/T at similar acrylic architecture, A usually has stronger Tg/mechanical impact than T.</x:v>
      </x:c>
      <x:c r="H5" s="56" t="str">
        <x:v>https://doi.org/10.1021/ma202122r</x:v>
      </x:c>
      <x:c r="I5" s="56" t="str">
        <x:v>Quantitative Tg rows are in main data sheet.</x:v>
      </x:c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</x:row>
    <x:row r="6" ht="60" customHeight="1">
      <x:c r="A6" s="56" t="str">
        <x:v>Q5</x:v>
      </x:c>
      <x:c r="B6" s="56" t="str">
        <x:v>S4</x:v>
      </x:c>
      <x:c r="C6" s="56" t="str">
        <x:v>C vs UCy</x:v>
      </x:c>
      <x:c r="D6" s="56" t="str">
        <x:v>poly(CyA-co-nBA) vs poly(UCyA-co-nBA)</x:v>
      </x:c>
      <x:c r="E6" s="56" t="str">
        <x:v>UCy conversion increased Tg and widened service/plateau behavior relative to CyA precursor.</x:v>
      </x:c>
      <x:c r="F6" s="56" t="str">
        <x:v>At 21.4 mol%, CyA Tg = 14 °C; UCyA Tg = 28 °C.</x:v>
      </x:c>
      <x:c r="G6" s="56" t="str">
        <x:v>Hydrogen-bond strength and pendant bulk strongly affect Tg; do not merge UCy with natural cytosine labels without a descriptor.</x:v>
      </x:c>
      <x:c r="H6" s="56" t="str">
        <x:v>https://doi.org/10.1039/C6PY01519K</x:v>
      </x:c>
      <x:c r="I6" s="56" t="str">
        <x:v>UCyA is included as derivative data only.</x:v>
      </x:c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</x:row>
    <x:row r="7" ht="60" customHeight="1">
      <x:c r="A7" s="56" t="str">
        <x:v>Q6</x:v>
      </x:c>
      <x:c r="B7" s="56" t="str">
        <x:v>S2/S3</x:v>
      </x:c>
      <x:c r="C7" s="56" t="str">
        <x:v>A+T blocks</x:v>
      </x:c>
      <x:c r="D7" s="56" t="str">
        <x:v>ABC/ABA A-T block copolymers</x:v>
      </x:c>
      <x:c r="E7" s="56" t="str">
        <x:v>A/T complementary hard phases broadened plateau windows and yielded single high-Tg hard phases in blends/ABC triblocks.</x:v>
      </x:c>
      <x:c r="F7" s="56" t="str">
        <x:v>ABC PTBA hard Tg ca. 66-72 °C; ABA A:T blend hard Tg 74 °C and plateau range 109 °C.</x:v>
      </x:c>
      <x:c r="G7" s="56" t="str">
        <x:v>Architecture strongly changes apparent Tg; separate random copolymer and block copolymer data in model features.</x:v>
      </x:c>
      <x:c r="H7" s="56" t="str">
        <x:v>https://doi.org/10.1039/C4CC03363A ; https://doi.org/10.1039/C4PY01798F</x:v>
      </x:c>
      <x:c r="I7" s="56" t="str">
        <x:v>Do not compare block hard-phase Tg directly with random copolymer Tg without architecture features.</x:v>
      </x:c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</x:row>
    <x:row r="8" ht="60" customHeight="1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</x:row>
    <x:row r="9" ht="60" customHeight="1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</x:row>
    <x:row r="10" ht="60" customHeight="1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</x:row>
    <x:row r="11" ht="60" customHeight="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</x:row>
    <x:row r="12" ht="60" customHeight="1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</x:row>
    <x:row r="13" ht="60" customHeight="1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</x:row>
    <x:row r="14" ht="60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</x:row>
    <x:row r="15" ht="60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</x:row>
    <x:row r="16" ht="60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</x:row>
    <x:row r="17" ht="60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</x:row>
    <x:row r="18" ht="60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</x:row>
    <x:row r="19" ht="60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</x:row>
    <x:row r="20" ht="6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</x:row>
    <x:row r="21" ht="6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</x:row>
    <x:row r="22" ht="6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</x:row>
    <x:row r="23" ht="6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</x:row>
    <x:row r="24" ht="6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</x:row>
    <x:row r="25" ht="6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</x:row>
    <x:row r="26" ht="6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</x:row>
    <x:row r="27" ht="6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</x:row>
    <x:row r="28" ht="6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</x:row>
    <x:row r="29" ht="6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</x:row>
    <x:row r="30" ht="6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</x:row>
    <x:row r="31" ht="60" customHeight="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</x:row>
    <x:row r="32" ht="60" customHeight="1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</x:row>
    <x:row r="33" ht="60" customHeight="1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</x:row>
    <x:row r="34" ht="60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</x:row>
    <x:row r="35" ht="60" customHeight="1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</x:row>
    <x:row r="36" ht="60" customHeight="1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</x:row>
    <x:row r="37" ht="60" customHeight="1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</x:row>
    <x:row r="38" ht="60" customHeight="1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</x:row>
    <x:row r="39" ht="60" customHeight="1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</x:row>
    <x:row r="40" ht="60" customHeight="1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</x:row>
    <x:row r="41" ht="60" customHeight="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</x:row>
    <x:row r="42" ht="60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</x:row>
    <x:row r="43" ht="60" customHeight="1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</x:row>
    <x:row r="44" ht="60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</x:row>
    <x:row r="45" ht="60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</x:row>
    <x:row r="46" ht="60" customHeight="1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</x:row>
    <x:row r="47" ht="60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</x:row>
    <x:row r="48" ht="60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</x:row>
    <x:row r="49" ht="60" customHeight="1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</x:row>
    <x:row r="50" ht="60" customHeight="1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</x:row>
  </x:sheetData>
  <x:pageMargins left="0.7" right="0.7" top="0.75" bottom="0.75" header="0.3" footer="0.3"/>
  <x:tableParts count="1">
    <x:tablePart xmlns:r="http://schemas.openxmlformats.org/officeDocument/2006/relationships" r:id="R97a45d27a00a48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8" hidden="0" customWidth="1"/>
    <x:col min="4" max="4" width="24" hidden="0" customWidth="1"/>
    <x:col min="5" max="5" width="24" hidden="0" customWidth="1"/>
    <x:col min="6" max="6" width="12" hidden="0" customWidth="1"/>
    <x:col min="7" max="7" width="45" hidden="0" customWidth="1"/>
    <x:col min="8" max="8" width="65" hidden="0" customWidth="1"/>
  </x:cols>
  <x:sheetData>
    <x:row r="1" ht="42" customHeight="1">
      <x:c r="A1" s="64" t="str">
        <x:v>Interaction_ID</x:v>
      </x:c>
      <x:c r="B1" s="64" t="str">
        <x:v>Nucleobase_or_Pair</x:v>
      </x:c>
      <x:c r="C1" s="64" t="str">
        <x:v>Interaction_Type</x:v>
      </x:c>
      <x:c r="D1" s="64" t="str">
        <x:v>Association_Constant</x:v>
      </x:c>
      <x:c r="E1" s="64" t="str">
        <x:v>Solvent_or_Context</x:v>
      </x:c>
      <x:c r="F1" s="64" t="str">
        <x:v>Source_ID</x:v>
      </x:c>
      <x:c r="G1" s="64" t="str">
        <x:v>Source_URL</x:v>
      </x:c>
      <x:c r="H1" s="64" t="str">
        <x:v>Modeling_Note</x:v>
      </x:c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</x:row>
    <x:row r="2" ht="48" customHeight="1">
      <x:c r="A2" s="56" t="str">
        <x:v>I1</x:v>
      </x:c>
      <x:c r="B2" s="56" t="str">
        <x:v>A-T</x:v>
      </x:c>
      <x:c r="C2" s="56" t="str">
        <x:v>Watson-Crick complementary H-bonding</x:v>
      </x:c>
      <x:c r="D2" s="56" t="str">
        <x:v>ca. 100 M^-1</x:v>
      </x:c>
      <x:c r="E2" s="56" t="str">
        <x:v>chloroform</x:v>
      </x:c>
      <x:c r="F2" s="56" t="str">
        <x:v>S5</x:v>
      </x:c>
      <x:c r="G2" s="56" t="str">
        <x:v>https://doi.org/10.1002/pol.20230320</x:v>
      </x:c>
      <x:c r="H2" s="56" t="str">
        <x:v>A-T pairing stronger than A-A/T-T self-association but weaker than G/G or UCy/UCy in cited systems.</x:v>
      </x:c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</x:row>
    <x:row r="3" ht="48" customHeight="1">
      <x:c r="A3" s="56" t="str">
        <x:v>I2</x:v>
      </x:c>
      <x:c r="B3" s="56" t="str">
        <x:v>AdA-ThA monomers</x:v>
      </x:c>
      <x:c r="C3" s="56" t="str">
        <x:v>complementary H-bonding from NMR titration</x:v>
      </x:c>
      <x:c r="D3" s="56" t="str">
        <x:v>128 M^-1</x:v>
      </x:c>
      <x:c r="E3" s="56" t="str">
        <x:v>CDCl3 at 22 °C</x:v>
      </x:c>
      <x:c r="F3" s="56" t="str">
        <x:v>S3</x:v>
      </x:c>
      <x:c r="G3" s="56" t="str">
        <x:v>https://doi.org/10.1039/C4PY01798F</x:v>
      </x:c>
      <x:c r="H3" s="56" t="str">
        <x:v>Monomer-level binding constant for acrylic A/T monomers used in ABA block paper.</x:v>
      </x:c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</x:row>
    <x:row r="4" ht="48" customHeight="1">
      <x:c r="A4" s="56" t="str">
        <x:v>I3</x:v>
      </x:c>
      <x:c r="B4" s="56" t="str">
        <x:v>A-A and T-T</x:v>
      </x:c>
      <x:c r="C4" s="56" t="str">
        <x:v>self-association</x:v>
      </x:c>
      <x:c r="D4" s="56" t="str">
        <x:v>&lt;10 M^-1</x:v>
      </x:c>
      <x:c r="E4" s="56" t="str">
        <x:v>CDCl3</x:v>
      </x:c>
      <x:c r="F4" s="56" t="str">
        <x:v>S1</x:v>
      </x:c>
      <x:c r="G4" s="56" t="str">
        <x:v>https://doi.org/10.1021/ma202122r</x:v>
      </x:c>
      <x:c r="H4" s="56" t="str">
        <x:v>Weak self-H-bonding; A still shows strong morphology due to π-π stacking/accessibility.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</x:row>
    <x:row r="5" ht="48" customHeight="1">
      <x:c r="A5" s="56" t="str">
        <x:v>I4</x:v>
      </x:c>
      <x:c r="B5" s="56" t="str">
        <x:v>adenine</x:v>
      </x:c>
      <x:c r="C5" s="56" t="str">
        <x:v>self-association compared with guanine</x:v>
      </x:c>
      <x:c r="D5" s="56" t="str">
        <x:v>&lt;5 M^-1</x:v>
      </x:c>
      <x:c r="E5" s="56" t="str">
        <x:v>chloroform</x:v>
      </x:c>
      <x:c r="F5" s="56" t="str">
        <x:v>S5</x:v>
      </x:c>
      <x:c r="G5" s="56" t="str">
        <x:v>https://doi.org/10.1002/pol.20230320</x:v>
      </x:c>
      <x:c r="H5" s="56" t="str">
        <x:v>Supports lower self-association strength of A than G.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</x:row>
    <x:row r="6" ht="48" customHeight="1">
      <x:c r="A6" s="56" t="str">
        <x:v>I5</x:v>
      </x:c>
      <x:c r="B6" s="56" t="str">
        <x:v>cytosine</x:v>
      </x:c>
      <x:c r="C6" s="56" t="str">
        <x:v>self-association</x:v>
      </x:c>
      <x:c r="D6" s="56" t="str">
        <x:v>ca. 40 M^-1</x:v>
      </x:c>
      <x:c r="E6" s="56" t="str">
        <x:v>literature value cited in S5/S4</x:v>
      </x:c>
      <x:c r="F6" s="56" t="str">
        <x:v>S4/S5</x:v>
      </x:c>
      <x:c r="G6" s="56" t="str">
        <x:v>https://doi.org/10.1039/C6PY01519K ; https://doi.org/10.1002/pol.20230320</x:v>
      </x:c>
      <x:c r="H6" s="56" t="str">
        <x:v>Weak C-C association explains weaker plateau behavior vs G or UCy.</x:v>
      </x:c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</x:row>
    <x:row r="7" ht="48" customHeight="1">
      <x:c r="A7" s="56" t="str">
        <x:v>I6</x:v>
      </x:c>
      <x:c r="B7" s="56" t="str">
        <x:v>ureido-cytosine</x:v>
      </x:c>
      <x:c r="C7" s="56" t="str">
        <x:v>quadruple self-H-bonding</x:v>
      </x:c>
      <x:c r="D7" s="56" t="str">
        <x:v>ca. 2.5 x 10^5 M^-1</x:v>
      </x:c>
      <x:c r="E7" s="56" t="str">
        <x:v>CDCl3/literature value</x:v>
      </x:c>
      <x:c r="F7" s="56" t="str">
        <x:v>S4/S5</x:v>
      </x:c>
      <x:c r="G7" s="56" t="str">
        <x:v>https://doi.org/10.1039/C6PY01519K ; https://doi.org/10.1002/pol.20230320</x:v>
      </x:c>
      <x:c r="H7" s="56" t="str">
        <x:v>Derivative data; useful for learning H-bond strength effects, not natural C.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</x:row>
    <x:row r="8" ht="48" customHeight="1">
      <x:c r="A8" s="56" t="str">
        <x:v>I7</x:v>
      </x:c>
      <x:c r="B8" s="56" t="str">
        <x:v>guanine</x:v>
      </x:c>
      <x:c r="C8" s="56" t="str">
        <x:v>self-association</x:v>
      </x:c>
      <x:c r="D8" s="56" t="str">
        <x:v>ca. 10^3-10^4 M^-1</x:v>
      </x:c>
      <x:c r="E8" s="56" t="str">
        <x:v>chloroform</x:v>
      </x:c>
      <x:c r="F8" s="56" t="str">
        <x:v>S5</x:v>
      </x:c>
      <x:c r="G8" s="56" t="str">
        <x:v>https://doi.org/10.1002/pol.20230320</x:v>
      </x:c>
      <x:c r="H8" s="56" t="str">
        <x:v>Large self-association and π-stacking explain strong G effects.</x:v>
      </x:c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</x:row>
    <x:row r="9" ht="48" customHeight="1">
      <x:c r="A9" s="56" t="str">
        <x:v>I8</x:v>
      </x:c>
      <x:c r="B9" s="56" t="str">
        <x:v>G-C</x:v>
      </x:c>
      <x:c r="C9" s="56" t="str">
        <x:v>complementary triple H-bonding</x:v>
      </x:c>
      <x:c r="D9" s="56" t="str">
        <x:v>&gt;10^4 M^-1</x:v>
      </x:c>
      <x:c r="E9" s="56" t="str">
        <x:v>literature value cited in S4</x:v>
      </x:c>
      <x:c r="F9" s="56" t="str">
        <x:v>S4</x:v>
      </x:c>
      <x:c r="G9" s="56" t="str">
        <x:v>https://doi.org/10.1039/C6PY01519K</x:v>
      </x:c>
      <x:c r="H9" s="56" t="str">
        <x:v>Complementarity is strong, but random copolymer blend may show imperfect association due to microphase separation.</x:v>
      </x:c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</x:row>
    <x:row r="10" ht="48" customHeight="1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</x:row>
    <x:row r="11" ht="48" customHeight="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</x:row>
    <x:row r="12" ht="48" customHeight="1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</x:row>
    <x:row r="13" ht="48" customHeight="1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</x:row>
    <x:row r="14" ht="48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</x:row>
    <x:row r="15" ht="48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</x:row>
    <x:row r="16" ht="48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</x:row>
    <x:row r="17" ht="48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</x:row>
    <x:row r="18" ht="48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</x:row>
    <x:row r="19" ht="48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</x:row>
    <x:row r="20" ht="48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</x:row>
    <x:row r="21" ht="48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</x:row>
    <x:row r="22" ht="48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</x:row>
    <x:row r="23" ht="48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</x:row>
    <x:row r="24" ht="48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</x:row>
    <x:row r="25" ht="48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</x:row>
    <x:row r="26" ht="48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</x:row>
    <x:row r="27" ht="48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</x:row>
    <x:row r="28" ht="48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</x:row>
    <x:row r="29" ht="48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</x:row>
    <x:row r="30" ht="48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</x:row>
    <x:row r="31" ht="48" customHeight="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</x:row>
    <x:row r="32" ht="48" customHeight="1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</x:row>
    <x:row r="33" ht="48" customHeight="1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</x:row>
    <x:row r="34" ht="48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</x:row>
    <x:row r="35" ht="48" customHeight="1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</x:row>
    <x:row r="36" ht="48" customHeight="1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</x:row>
    <x:row r="37" ht="48" customHeight="1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</x:row>
    <x:row r="38" ht="48" customHeight="1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</x:row>
    <x:row r="39" ht="48" customHeight="1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</x:row>
    <x:row r="40" ht="48" customHeight="1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</x:row>
    <x:row r="41" ht="48" customHeight="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</x:row>
    <x:row r="42" ht="48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</x:row>
    <x:row r="43" ht="48" customHeight="1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</x:row>
    <x:row r="44" ht="48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</x:row>
    <x:row r="45" ht="48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</x:row>
    <x:row r="46" ht="48" customHeight="1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</x:row>
    <x:row r="47" ht="48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</x:row>
    <x:row r="48" ht="48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</x:row>
    <x:row r="49" ht="48" customHeight="1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</x:row>
    <x:row r="50" ht="48" customHeight="1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</x:row>
  </x:sheetData>
  <x:pageMargins left="0.7" right="0.7" top="0.75" bottom="0.75" header="0.3" footer="0.3"/>
  <x:tableParts count="1">
    <x:tablePart xmlns:r="http://schemas.openxmlformats.org/officeDocument/2006/relationships" r:id="R25dbefba31ac4d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70" hidden="0" customWidth="1"/>
    <x:col min="4" max="4" width="24" hidden="0" customWidth="1"/>
    <x:col min="5" max="5" width="42" hidden="0" customWidth="1"/>
    <x:col min="6" max="6" width="60" hidden="0" customWidth="1"/>
    <x:col min="7" max="7" width="60" hidden="0" customWidth="1"/>
  </x:cols>
  <x:sheetData>
    <x:row r="1" ht="42" customHeight="1">
      <x:c r="A1" s="64" t="str">
        <x:v>Source_ID</x:v>
      </x:c>
      <x:c r="B1" s="64" t="str">
        <x:v>Title</x:v>
      </x:c>
      <x:c r="C1" s="64" t="str">
        <x:v>Citation</x:v>
      </x:c>
      <x:c r="D1" s="64" t="str">
        <x:v>DOI</x:v>
      </x:c>
      <x:c r="E1" s="64" t="str">
        <x:v>Source_URL</x:v>
      </x:c>
      <x:c r="F1" s="64" t="str">
        <x:v>Data_Captured</x:v>
      </x:c>
      <x:c r="G1" s="64" t="str">
        <x:v>Access_or_Quality_Note</x:v>
      </x:c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</x:row>
    <x:row r="2" ht="54" customHeight="1">
      <x:c r="A2" s="56" t="str">
        <x:v>S1</x:v>
      </x:c>
      <x:c r="B2" s="56" t="str">
        <x:v>Nucleobase Self-Assembly in Supramolecular Adhesives</x:v>
      </x:c>
      <x:c r="C2" s="56" t="str">
        <x:v>Cheng, S.; Zhang, M.; Dixit, N.; Moore, R. B.; Long, T. E. Macromolecules 2012, 45, 805-812.</x:v>
      </x:c>
      <x:c r="D2" s="56" t="str">
        <x:v>10.1021/ma202122r</x:v>
      </x:c>
      <x:c r="E2" s="56" t="str">
        <x:v>https://doi.org/10.1021/ma202122r</x:v>
      </x:c>
      <x:c r="F2" s="56" t="str">
        <x:v>A/T acrylic random copolymers and A/T homopolymers; Table 1 Tg data.</x:v>
      </x:c>
      <x:c r="G2" s="56" t="str">
        <x:v>Values transcribed from article table visible in web/Academia copy; official DOI included.</x:v>
      </x:c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</x:row>
    <x:row r="3" ht="54" customHeight="1">
      <x:c r="A3" s="56" t="str">
        <x:v>S2</x:v>
      </x:c>
      <x:c r="B3" s="56" t="str">
        <x:v>Nucleobase-functionalized ABC triblock copolymers: self-assembly of supramolecular architectures</x:v>
      </x:c>
      <x:c r="C3" s="56" t="str">
        <x:v>Zhang, K.; Fahs, G. B.; Aiba, M.; Moore, R. B.; Long, T. E. Chem. Commun. 2014, 50, 9145-9148.</x:v>
      </x:c>
      <x:c r="D3" s="56" t="str">
        <x:v>10.1039/C4CC03363A</x:v>
      </x:c>
      <x:c r="E3" s="56" t="str">
        <x:v>https://doi.org/10.1039/C4CC03363A</x:v>
      </x:c>
      <x:c r="F3" s="56" t="str">
        <x:v>A/T ABC triblock copolymers; DSC Tg and DMA tan delta/Tflow data.</x:v>
      </x:c>
      <x:c r="G3" s="56" t="str">
        <x:v>Open-access RSC HTML table used.</x:v>
      </x:c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</x:row>
    <x:row r="4" ht="54" customHeight="1">
      <x:c r="A4" s="56" t="str">
        <x:v>S3</x:v>
      </x:c>
      <x:c r="B4" s="56" t="str">
        <x:v>Nucleobase-functionalized acrylic ABA triblock copolymers and supramolecular blends</x:v>
      </x:c>
      <x:c r="C4" s="56" t="str">
        <x:v>Zhang, K.; Aiba, M.; Fahs, G. B.; Hudson, A. G.; Chiang, W. D.; Moore, R. B.; Ueda, M.; Long, T. E. Polym. Chem. 2015, 6, 2434-2444.</x:v>
      </x:c>
      <x:c r="D4" s="56" t="str">
        <x:v>10.1039/C4PY01798F</x:v>
      </x:c>
      <x:c r="E4" s="56" t="str">
        <x:v>https://doi.org/10.1039/C4PY01798F</x:v>
      </x:c>
      <x:c r="F4" s="56" t="str">
        <x:v>A/T ABA triblock copolymers and A:T supramolecular blend; DSC/DMA Tg and plateau ranges.</x:v>
      </x:c>
      <x:c r="G4" s="56" t="str">
        <x:v>Open-access RSC HTML and PDF snippets used.</x:v>
      </x:c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</x:row>
    <x:row r="5" ht="54" customHeight="1">
      <x:c r="A5" s="56" t="str">
        <x:v>S4</x:v>
      </x:c>
      <x:c r="B5" s="56" t="str">
        <x:v>Ureido cytosine and cytosine-containing acrylic copolymers</x:v>
      </x:c>
      <x:c r="C5" s="56" t="str">
        <x:v>Zhang, K.; Chen, M.; Drummey, K. J.; Talley, S. J.; Anderson, L. J.; Moore, R. B.; Long, T. E. Polym. Chem. 2016, 7, 6671-6681.</x:v>
      </x:c>
      <x:c r="D5" s="56" t="str">
        <x:v>10.1039/C6PY01519K</x:v>
      </x:c>
      <x:c r="E5" s="56" t="str">
        <x:v>https://doi.org/10.1039/C6PY01519K</x:v>
      </x:c>
      <x:c r="F5" s="56" t="str">
        <x:v>Cytosine acrylate and ureido-cytosine acrylate random copolymers with nBA; Table 1 Tg/Td data.</x:v>
      </x:c>
      <x:c r="G5" s="56" t="str">
        <x:v>Open-access RSC HTML table used.</x:v>
      </x:c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  <x:c r="AA5" s="41"/>
      <x:c r="AB5" s="41"/>
    </x:row>
    <x:row r="6" ht="54" customHeight="1">
      <x:c r="A6" s="56" t="str">
        <x:v>S5</x:v>
      </x:c>
      <x:c r="B6" s="56" t="str">
        <x:v>Guanine and cytosine-containing acrylic supramolecular networks</x:v>
      </x:c>
      <x:c r="C6" s="56" t="str">
        <x:v>Liu, B.; Spiering, G. A.; McDonough, R. K.; Moore, R. B.; Long, T. E. J. Polym. Sci. 2024, 62, 733-742.</x:v>
      </x:c>
      <x:c r="D6" s="56" t="str">
        <x:v>10.1002/pol.20230320</x:v>
      </x:c>
      <x:c r="E6" s="56" t="str">
        <x:v>https://doi.org/10.1002/pol.20230320</x:v>
      </x:c>
      <x:c r="F6" s="56" t="str">
        <x:v>Guanine/cytosine acrylic random copolymers with nBA; DSC/DMA qualitative and figure-labeled Tg data.</x:v>
      </x:c>
      <x:c r="G6" s="56" t="str">
        <x:v>Values extracted from the main PDF uploaded by user; SI table was not included in the uploaded file.</x:v>
      </x:c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  <x:c r="AA6" s="41"/>
      <x:c r="AB6" s="41"/>
    </x:row>
    <x:row r="7" ht="54" customHeight="1">
      <x:c r="A7" s="56" t="str">
        <x:v>S6</x:v>
      </x:c>
      <x:c r="B7" s="56" t="str">
        <x:v>Acetyl-protected cytosine and guanine containing acrylics as supramolecular adhesives</x:v>
      </x:c>
      <x:c r="C7" s="56" t="str">
        <x:v>Zhang, K.; Fahs, G. B.; Margaretta, E.; Hudson, A. G.; Moore, R. B.; Long, T. E. J. Adhes. 2019, 95, 146-167.</x:v>
      </x:c>
      <x:c r="D7" s="56" t="str">
        <x:v>10.1080/00218464.2017.1419430</x:v>
      </x:c>
      <x:c r="E7" s="56" t="str">
        <x:v>https://doi.org/10.1080/00218464.2017.1419430</x:v>
      </x:c>
      <x:c r="F7" s="56" t="str">
        <x:v>Acetyl-protected G/C nBA copolymers; qualitative Tg trend and film-formation thresholds from abstract/source metadata.</x:v>
      </x:c>
      <x:c r="G7" s="56" t="str">
        <x:v>Only public abstract/source metadata accessible; no numeric Tg table captured.</x:v>
      </x:c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  <x:c r="AA7" s="41"/>
      <x:c r="AB7" s="41"/>
    </x:row>
    <x:row r="8" ht="54" customHeight="1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  <x:c r="AA8" s="41"/>
      <x:c r="AB8" s="41"/>
    </x:row>
    <x:row r="9" ht="54" customHeight="1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  <x:c r="AA9" s="41"/>
      <x:c r="AB9" s="41"/>
    </x:row>
    <x:row r="10" ht="54" customHeight="1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  <x:c r="AA10" s="41"/>
      <x:c r="AB10" s="41"/>
    </x:row>
    <x:row r="11" ht="54" customHeight="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  <x:c r="AA11" s="41"/>
      <x:c r="AB11" s="41"/>
    </x:row>
    <x:row r="12" ht="54" customHeight="1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  <x:c r="AA12" s="41"/>
      <x:c r="AB12" s="41"/>
    </x:row>
    <x:row r="13" ht="54" customHeight="1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  <x:c r="AA13" s="41"/>
      <x:c r="AB13" s="41"/>
    </x:row>
    <x:row r="14" ht="54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</x:row>
    <x:row r="15" ht="54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  <x:c r="AA15" s="41"/>
      <x:c r="AB15" s="41"/>
    </x:row>
    <x:row r="16" ht="54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  <x:c r="AA16" s="41"/>
      <x:c r="AB16" s="41"/>
    </x:row>
    <x:row r="17" ht="54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  <x:c r="AA17" s="41"/>
      <x:c r="AB17" s="41"/>
    </x:row>
    <x:row r="18" ht="54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  <x:c r="AA18" s="41"/>
      <x:c r="AB18" s="41"/>
    </x:row>
    <x:row r="19" ht="54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  <x:c r="AA19" s="41"/>
      <x:c r="AB19" s="41"/>
    </x:row>
    <x:row r="20" ht="54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  <x:c r="AA20" s="41"/>
      <x:c r="AB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  <x:c r="AA21" s="41"/>
      <x:c r="AB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  <x:c r="AA22" s="41"/>
      <x:c r="AB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  <x:c r="AA23" s="41"/>
      <x:c r="AB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  <x:c r="AA24" s="41"/>
      <x:c r="AB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  <x:c r="AA25" s="41"/>
      <x:c r="AB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  <x:c r="AA26" s="41"/>
      <x:c r="AB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  <x:c r="AA29" s="41"/>
      <x:c r="AB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  <x:c r="AA30" s="41"/>
      <x:c r="AB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  <x:c r="AA31" s="41"/>
      <x:c r="AB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  <x:c r="AA32" s="41"/>
      <x:c r="AB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  <x:c r="AA33" s="41"/>
      <x:c r="AB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  <x:c r="AA34" s="41"/>
      <x:c r="AB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  <x:c r="AA35" s="41"/>
      <x:c r="AB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  <x:c r="AA36" s="41"/>
      <x:c r="AB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  <x:c r="AA37" s="41"/>
      <x:c r="AB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  <x:c r="AA38" s="41"/>
      <x:c r="AB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  <x:c r="AA39" s="41"/>
      <x:c r="AB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  <x:c r="AA40" s="41"/>
      <x:c r="AB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  <x:c r="AA41" s="41"/>
      <x:c r="AB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  <x:c r="AA42" s="41"/>
      <x:c r="AB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  <x:c r="AA43" s="41"/>
      <x:c r="AB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  <x:c r="AA44" s="41"/>
      <x:c r="AB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  <x:c r="AA45" s="41"/>
      <x:c r="AB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  <x:c r="AA46" s="41"/>
      <x:c r="AB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  <x:c r="AA47" s="41"/>
      <x:c r="AB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  <x:c r="AA48" s="41"/>
      <x:c r="AB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  <x:c r="AA49" s="41"/>
      <x:c r="AB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  <x:c r="AA50" s="41"/>
      <x:c r="AB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  <x:c r="AA51" s="41"/>
      <x:c r="AB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  <x:c r="AA52" s="41"/>
      <x:c r="AB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  <x:c r="AA53" s="41"/>
      <x:c r="AB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  <x:c r="AA54" s="41"/>
      <x:c r="AB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  <x:c r="AA55" s="41"/>
      <x:c r="AB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  <x:c r="AA56" s="41"/>
      <x:c r="AB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  <x:c r="AA57" s="41"/>
      <x:c r="AB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  <x:c r="AA58" s="41"/>
      <x:c r="AB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  <x:c r="AA59" s="41"/>
      <x:c r="AB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  <x:c r="AA60" s="41"/>
      <x:c r="AB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  <x:c r="AA61" s="41"/>
      <x:c r="AB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  <x:c r="AA62" s="41"/>
      <x:c r="AB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  <x:c r="AA63" s="41"/>
      <x:c r="AB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  <x:c r="AA64" s="41"/>
      <x:c r="AB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  <x:c r="AA65" s="41"/>
      <x:c r="AB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  <x:c r="AA66" s="41"/>
      <x:c r="AB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  <x:c r="AA67" s="41"/>
      <x:c r="AB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  <x:c r="AA68" s="41"/>
      <x:c r="AB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  <x:c r="AA69" s="41"/>
      <x:c r="AB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  <x:c r="AA70" s="41"/>
      <x:c r="AB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  <x:c r="AA71" s="41"/>
      <x:c r="AB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  <x:c r="AA72" s="41"/>
      <x:c r="AB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  <x:c r="AA73" s="41"/>
      <x:c r="AB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  <x:c r="AA74" s="41"/>
      <x:c r="AB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  <x:c r="AA75" s="41"/>
      <x:c r="AB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  <x:c r="AA76" s="41"/>
      <x:c r="AB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  <x:c r="AA77" s="41"/>
      <x:c r="AB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  <x:c r="AA78" s="41"/>
      <x:c r="AB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  <x:c r="AA79" s="41"/>
      <x:c r="AB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  <x:c r="AA80" s="41"/>
      <x:c r="AB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  <x:c r="AA81" s="41"/>
      <x:c r="AB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  <x:c r="AA82" s="41"/>
      <x:c r="AB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  <x:c r="AA83" s="41"/>
      <x:c r="AB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  <x:c r="AA84" s="41"/>
      <x:c r="AB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  <x:c r="AA85" s="41"/>
      <x:c r="AB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  <x:c r="AA86" s="41"/>
      <x:c r="AB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  <x:c r="AA87" s="41"/>
      <x:c r="AB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  <x:c r="AA88" s="41"/>
      <x:c r="AB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  <x:c r="AA89" s="41"/>
      <x:c r="AB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  <x:c r="AA90" s="41"/>
      <x:c r="AB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  <x:c r="AA91" s="41"/>
      <x:c r="AB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  <x:c r="AA92" s="41"/>
      <x:c r="AB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  <x:c r="AA93" s="41"/>
      <x:c r="AB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  <x:c r="AA94" s="41"/>
      <x:c r="AB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  <x:c r="AA95" s="41"/>
      <x:c r="AB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  <x:c r="AA96" s="41"/>
      <x:c r="AB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  <x:c r="AA97" s="41"/>
      <x:c r="AB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  <x:c r="AA98" s="41"/>
      <x:c r="AB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  <x:c r="AA99" s="41"/>
      <x:c r="AB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  <x:c r="AA100" s="41"/>
      <x:c r="AB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  <x:c r="AA101" s="41"/>
      <x:c r="AB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  <x:c r="AA102" s="41"/>
      <x:c r="AB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  <x:c r="AA103" s="41"/>
      <x:c r="AB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  <x:c r="AA104" s="41"/>
      <x:c r="AB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  <x:c r="AA105" s="41"/>
      <x:c r="AB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  <x:c r="AA106" s="41"/>
      <x:c r="AB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  <x:c r="AA107" s="41"/>
      <x:c r="AB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  <x:c r="AA108" s="41"/>
      <x:c r="AB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  <x:c r="AA109" s="41"/>
      <x:c r="AB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  <x:c r="AA110" s="41"/>
      <x:c r="AB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  <x:c r="AA111" s="41"/>
      <x:c r="AB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  <x:c r="AA112" s="41"/>
      <x:c r="AB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  <x:c r="AA113" s="41"/>
      <x:c r="AB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  <x:c r="AA114" s="41"/>
      <x:c r="AB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  <x:c r="AA115" s="41"/>
      <x:c r="AB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  <x:c r="AA116" s="41"/>
      <x:c r="AB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  <x:c r="AA117" s="41"/>
      <x:c r="AB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  <x:c r="AA118" s="41"/>
      <x:c r="AB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  <x:c r="AA119" s="41"/>
      <x:c r="AB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  <x:c r="AA120" s="41"/>
      <x:c r="AB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  <x:c r="AA121" s="41"/>
      <x:c r="AB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  <x:c r="AA122" s="41"/>
      <x:c r="AB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  <x:c r="AA123" s="41"/>
      <x:c r="AB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  <x:c r="AA124" s="41"/>
      <x:c r="AB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  <x:c r="AA125" s="41"/>
      <x:c r="AB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  <x:c r="AA126" s="41"/>
      <x:c r="AB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  <x:c r="AA127" s="41"/>
      <x:c r="AB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  <x:c r="AA128" s="41"/>
      <x:c r="AB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  <x:c r="AA129" s="41"/>
      <x:c r="AB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  <x:c r="AA130" s="41"/>
      <x:c r="AB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  <x:c r="AA131" s="41"/>
      <x:c r="AB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  <x:c r="AA132" s="41"/>
      <x:c r="AB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  <x:c r="AA133" s="41"/>
      <x:c r="AB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  <x:c r="AA134" s="41"/>
      <x:c r="AB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  <x:c r="AA135" s="41"/>
      <x:c r="AB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  <x:c r="AA136" s="41"/>
      <x:c r="AB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  <x:c r="AA137" s="41"/>
      <x:c r="AB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  <x:c r="AA138" s="41"/>
      <x:c r="AB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  <x:c r="AA139" s="41"/>
      <x:c r="AB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  <x:c r="AA140" s="41"/>
      <x:c r="AB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  <x:c r="AA141" s="41"/>
      <x:c r="AB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  <x:c r="AA142" s="41"/>
      <x:c r="AB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  <x:c r="AA143" s="41"/>
      <x:c r="AB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  <x:c r="AA144" s="41"/>
      <x:c r="AB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  <x:c r="AA145" s="41"/>
      <x:c r="AB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  <x:c r="AA146" s="41"/>
      <x:c r="AB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  <x:c r="AA147" s="41"/>
      <x:c r="AB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  <x:c r="AA148" s="41"/>
      <x:c r="AB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  <x:c r="AA149" s="41"/>
      <x:c r="AB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  <x:c r="AA150" s="41"/>
      <x:c r="AB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  <x:c r="AA151" s="41"/>
      <x:c r="AB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  <x:c r="AA152" s="41"/>
      <x:c r="AB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  <x:c r="AA153" s="41"/>
      <x:c r="AB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  <x:c r="AA154" s="41"/>
      <x:c r="AB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  <x:c r="AA155" s="41"/>
      <x:c r="AB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  <x:c r="AA156" s="41"/>
      <x:c r="AB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  <x:c r="AA157" s="41"/>
      <x:c r="AB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  <x:c r="AA158" s="41"/>
      <x:c r="AB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  <x:c r="AA159" s="41"/>
      <x:c r="AB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  <x:c r="AA160" s="41"/>
      <x:c r="AB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  <x:c r="AA164" s="41"/>
      <x:c r="AB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  <x:c r="AA165" s="41"/>
      <x:c r="AB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  <x:c r="AA166" s="41"/>
      <x:c r="AB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  <x:c r="AA167" s="41"/>
      <x:c r="AB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  <x:c r="AA168" s="41"/>
      <x:c r="AB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  <x:c r="AA169" s="41"/>
      <x:c r="AB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  <x:c r="AA173" s="41"/>
      <x:c r="AB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  <x:c r="AA174" s="41"/>
      <x:c r="AB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  <x:c r="AA175" s="41"/>
      <x:c r="AB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  <x:c r="AA176" s="41"/>
      <x:c r="AB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  <x:c r="AA177" s="41"/>
      <x:c r="AB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  <x:c r="AA178" s="41"/>
      <x:c r="AB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  <x:c r="AA179" s="41"/>
      <x:c r="AB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  <x:c r="AA180" s="41"/>
      <x:c r="AB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  <x:c r="AA181" s="41"/>
      <x:c r="AB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  <x:c r="AA182" s="41"/>
      <x:c r="AB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  <x:c r="AA183" s="41"/>
      <x:c r="AB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  <x:c r="AA184" s="41"/>
      <x:c r="AB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  <x:c r="AA185" s="41"/>
      <x:c r="AB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  <x:c r="AA186" s="41"/>
      <x:c r="AB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  <x:c r="AA187" s="41"/>
      <x:c r="AB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  <x:c r="AA188" s="41"/>
      <x:c r="AB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  <x:c r="AA189" s="41"/>
      <x:c r="AB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  <x:c r="AA190" s="41"/>
      <x:c r="AB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  <x:c r="AA191" s="41"/>
      <x:c r="AB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  <x:c r="AA192" s="41"/>
      <x:c r="AB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  <x:c r="AA193" s="41"/>
      <x:c r="AB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  <x:c r="AA194" s="41"/>
      <x:c r="AB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  <x:c r="AA195" s="41"/>
      <x:c r="AB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  <x:c r="AA196" s="41"/>
      <x:c r="AB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  <x:c r="AA197" s="41"/>
      <x:c r="AB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  <x:c r="AA198" s="41"/>
      <x:c r="AB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  <x:c r="AA199" s="41"/>
      <x:c r="AB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  <x:c r="AA200" s="41"/>
      <x:c r="AB200" s="41"/>
    </x:row>
  </x:sheetData>
  <x:pageMargins left="0.7" right="0.7" top="0.75" bottom="0.75" header="0.3" footer="0.3"/>
  <x:tableParts count="1">
    <x:tablePart xmlns:r="http://schemas.openxmlformats.org/officeDocument/2006/relationships" r:id="Rca7f595b9baf473c"/>
  </x:tableParts>
</x:worksheet>
</file>